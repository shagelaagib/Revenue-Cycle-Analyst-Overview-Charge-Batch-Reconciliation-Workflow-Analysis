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S:\Shared With Me\Employee Development &amp; Onboarding\Resumes\Revenue Cycle Analyst 2026\Data Analyst New Batch\"/>
    </mc:Choice>
  </mc:AlternateContent>
  <xr:revisionPtr revIDLastSave="0" documentId="8_{80B1978A-D101-4DCB-9BE2-DA4E13CEF566}" xr6:coauthVersionLast="47" xr6:coauthVersionMax="47" xr10:uidLastSave="{00000000-0000-0000-0000-000000000000}"/>
  <bookViews>
    <workbookView xWindow="-108" yWindow="-108" windowWidth="23256" windowHeight="12456" firstSheet="1" activeTab="1" xr2:uid="{BCF17581-8880-4A3A-B331-5CC8F1EB2135}"/>
  </bookViews>
  <sheets>
    <sheet name="Instructions" sheetId="2" r:id="rId1"/>
    <sheet name="Data" sheetId="1" r:id="rId2"/>
    <sheet name="Stats Query" sheetId="3" r:id="rId3"/>
    <sheet name="Volume Variances" sheetId="4" r:id="rId4"/>
    <sheet name="Days to PPM" sheetId="6" r:id="rId5"/>
    <sheet name="Onshore to Offshore" sheetId="7" r:id="rId6"/>
    <sheet name="Offshore Processing" sheetId="8" r:id="rId7"/>
  </sheets>
  <calcPr calcId="191028"/>
  <pivotCaches>
    <pivotCache cacheId="524" r:id="rId8"/>
    <pivotCache cacheId="52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J21" i="1"/>
  <c r="K21" i="1"/>
  <c r="L21" i="1"/>
  <c r="O21" i="1" a="1"/>
  <c r="O21" i="1"/>
  <c r="Q21" i="1"/>
  <c r="R21" i="1"/>
  <c r="S21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2" i="1"/>
  <c r="O2" i="1" a="1"/>
  <c r="O2" i="1"/>
  <c r="Q34" i="1"/>
  <c r="Q35" i="1"/>
  <c r="Q36" i="1"/>
  <c r="Q37" i="1"/>
  <c r="Q38" i="1"/>
  <c r="Q3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" i="1"/>
  <c r="O12" i="1" a="1"/>
  <c r="O12" i="1"/>
  <c r="O13" i="1" a="1"/>
  <c r="O13" i="1" s="1"/>
  <c r="O14" i="1" a="1"/>
  <c r="O14" i="1" s="1"/>
  <c r="O15" i="1" a="1"/>
  <c r="O15" i="1" s="1"/>
  <c r="O16" i="1" a="1"/>
  <c r="O16" i="1" s="1"/>
  <c r="O17" i="1" a="1"/>
  <c r="O17" i="1" s="1"/>
  <c r="O18" i="1" a="1"/>
  <c r="O18" i="1" s="1"/>
  <c r="O19" i="1" a="1"/>
  <c r="O19" i="1" s="1"/>
  <c r="O20" i="1" a="1"/>
  <c r="O20" i="1" s="1"/>
  <c r="O22" i="1" a="1"/>
  <c r="O22" i="1" s="1"/>
  <c r="O23" i="1" a="1"/>
  <c r="O23" i="1" s="1"/>
  <c r="O24" i="1" a="1"/>
  <c r="O24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 s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6" i="1" a="1"/>
  <c r="O6" i="1" s="1"/>
  <c r="O7" i="1" a="1"/>
  <c r="O7" i="1" s="1"/>
  <c r="O8" i="1" a="1"/>
  <c r="O8" i="1" s="1"/>
  <c r="O9" i="1" a="1"/>
  <c r="O9" i="1" s="1"/>
  <c r="O10" i="1" a="1"/>
  <c r="O10" i="1" s="1"/>
  <c r="O11" i="1" a="1"/>
  <c r="O11" i="1" s="1"/>
  <c r="O3" i="1" a="1"/>
  <c r="O3" i="1" s="1"/>
  <c r="O4" i="1" a="1"/>
  <c r="O4" i="1" s="1"/>
  <c r="O5" i="1" a="1"/>
  <c r="O5" i="1" s="1"/>
  <c r="S2" i="1" l="1"/>
  <c r="R2" i="1"/>
  <c r="S5" i="1"/>
  <c r="R5" i="1"/>
  <c r="S4" i="1"/>
  <c r="R4" i="1"/>
  <c r="S3" i="1"/>
  <c r="R3" i="1"/>
  <c r="S11" i="1"/>
  <c r="R11" i="1"/>
  <c r="S10" i="1"/>
  <c r="R10" i="1"/>
  <c r="S9" i="1"/>
  <c r="R9" i="1"/>
  <c r="S8" i="1"/>
  <c r="R8" i="1"/>
  <c r="S7" i="1"/>
  <c r="R7" i="1"/>
  <c r="S6" i="1"/>
  <c r="R6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<sst xmlns="http://schemas.openxmlformats.org/spreadsheetml/2006/main" count="356" uniqueCount="132">
  <si>
    <t>Revenue Cycle Analyst Competency Exercise</t>
  </si>
  <si>
    <t>2.26.2026</t>
  </si>
  <si>
    <t>See "Data" tab for a subset of our charge batch tracker.  See below for exercise instructions:</t>
  </si>
  <si>
    <t xml:space="preserve">1. Pull in iStats volume data from "Stats Query" tab into Column N on "Data" tab - please keep intact formulas/functions that you use.  </t>
  </si>
  <si>
    <t>2. Put together a management report that shows locations that have any variances between cover sheet, charge sheet, and iStats.</t>
  </si>
  <si>
    <t>3. Put together a management report that shows how many business days it's taking each location to get the data to PPM.</t>
  </si>
  <si>
    <t>4. Put together a management report that shows how many business days it's taking Onshore to send to Offshore</t>
  </si>
  <si>
    <t xml:space="preserve">5. Put together a management report that shows how many business days it's taking Offshore to process once rec'd from Onshore.  </t>
  </si>
  <si>
    <t xml:space="preserve">6. Draft email to clinic staff asking them to look into variance between coversheet and charge sheets.  </t>
  </si>
  <si>
    <t>Provider Name (Last, First)</t>
  </si>
  <si>
    <t>Batch Name (FIle Name)</t>
  </si>
  <si>
    <t>iStats Provider Name</t>
  </si>
  <si>
    <t>Clinic/Procedures</t>
  </si>
  <si>
    <t>Date of Service</t>
  </si>
  <si>
    <t>Location</t>
  </si>
  <si>
    <t>Onshore Received Date (PPM)</t>
  </si>
  <si>
    <t>Sent to Offshore Date (PPM)</t>
  </si>
  <si>
    <t>Offshore Process Date (VEE)</t>
  </si>
  <si>
    <t>Days to PPM</t>
  </si>
  <si>
    <t>Onshore to Offshore Days</t>
  </si>
  <si>
    <t>Offshore Processing Days</t>
  </si>
  <si>
    <t>Cover Sheet Volumes (VEE)</t>
  </si>
  <si>
    <t>Charge Sheet Volumes (VEE)</t>
  </si>
  <si>
    <t>iStats Volumes (Stats Query tab) (PMG)</t>
  </si>
  <si>
    <t>Notes</t>
  </si>
  <si>
    <t>Cover vs Charge Variance</t>
  </si>
  <si>
    <t>Cover vs iStats Variance</t>
  </si>
  <si>
    <t>Charge vs iStats Variance</t>
  </si>
  <si>
    <t>Flag</t>
  </si>
  <si>
    <t>Coles, Jill</t>
  </si>
  <si>
    <t>PMG_C_01052026_BRECK_C1</t>
  </si>
  <si>
    <t>Jill Coles, CNP</t>
  </si>
  <si>
    <t>Clinics</t>
  </si>
  <si>
    <t>Breckinridge Health</t>
  </si>
  <si>
    <t>Black, Chase</t>
  </si>
  <si>
    <t>PMG_C_01052026_RHEA_C</t>
  </si>
  <si>
    <t>Dr. Chase Black</t>
  </si>
  <si>
    <t>Rhea Medical Center</t>
  </si>
  <si>
    <t>Dulgar, Amy</t>
  </si>
  <si>
    <t>PMG_C_01052026_CYSTL_C7</t>
  </si>
  <si>
    <t>Amy Dulgar, CNP</t>
  </si>
  <si>
    <t>Crystal Clinic</t>
  </si>
  <si>
    <t>Derhammer, Elizabeth</t>
  </si>
  <si>
    <t>PMG_C_01062026_CCAN_C8</t>
  </si>
  <si>
    <t>Elizabeth Derhammer, CNP</t>
  </si>
  <si>
    <t>Crystal Clinic Canton</t>
  </si>
  <si>
    <t>Dodds, Valerie</t>
  </si>
  <si>
    <t>PMG_C_01062026_ESC_C4</t>
  </si>
  <si>
    <t>Valerie Dodds, CNP</t>
  </si>
  <si>
    <t>Edgewood</t>
  </si>
  <si>
    <t>PMG_C_01062026_RHEA_P</t>
  </si>
  <si>
    <t>Procedures</t>
  </si>
  <si>
    <t>blanks filled in w/ above date from same clinic</t>
  </si>
  <si>
    <t>PMG_C_01062026_TNLKS_C1</t>
  </si>
  <si>
    <t>Twin Lakes RMC</t>
  </si>
  <si>
    <t>PMG_C_01062026_CYSTL_C7</t>
  </si>
  <si>
    <t>WATTS, JEFFREY</t>
  </si>
  <si>
    <t>PMG_C_01072026_ESC_C2</t>
  </si>
  <si>
    <t>PMG_C_01072026_ESC_C4</t>
  </si>
  <si>
    <t>high variance</t>
  </si>
  <si>
    <t>PMG_C_01072026_TNLKS_C1</t>
  </si>
  <si>
    <t>Bell, Abigail</t>
  </si>
  <si>
    <t>PMG_C_01072026_CIND_C6</t>
  </si>
  <si>
    <t>Abigail Bell, APRN</t>
  </si>
  <si>
    <t>Crystal Clinic Independence</t>
  </si>
  <si>
    <t>PMG_C_01072026_RHEA_C</t>
  </si>
  <si>
    <t>PMG_C_01072026_CYSTL_C7</t>
  </si>
  <si>
    <t>Ball, Amber</t>
  </si>
  <si>
    <t>PMG_C_01072026_PAULD_C2</t>
  </si>
  <si>
    <t>Amber Ball, CNP</t>
  </si>
  <si>
    <t>Paulding County</t>
  </si>
  <si>
    <t>PMG_C_01082026_CCAN_C7</t>
  </si>
  <si>
    <t>PMG_C_01082026_CYSTL_C8</t>
  </si>
  <si>
    <t>PMG_C_01082026_ESC_C2</t>
  </si>
  <si>
    <t xml:space="preserve">PMG_C_01082026_RHEA_P </t>
  </si>
  <si>
    <t>PMG_C_01082026_RHEA_C</t>
  </si>
  <si>
    <t>batch names seperated into 2 rows</t>
  </si>
  <si>
    <t>PMG_C_01082026_TNLKS_C1</t>
  </si>
  <si>
    <t>PMG_C_01082026_ESC_C4</t>
  </si>
  <si>
    <t>PMG_C_01082025_CFALL_C6</t>
  </si>
  <si>
    <t>Crystal Clinic Cuyahoga Falls</t>
  </si>
  <si>
    <t>PMG_C_01092025_CFALL_C6</t>
  </si>
  <si>
    <t>PMG_C_01122026_VNWRT_C2</t>
  </si>
  <si>
    <t>Van Wert</t>
  </si>
  <si>
    <t>PMG_C_01122026_BRECK_C1</t>
  </si>
  <si>
    <t>PMG_C_01132026_CCAN_C8</t>
  </si>
  <si>
    <t>PMG_C_01132026_ESC_C2</t>
  </si>
  <si>
    <t>PMG_C_01132026_ESC_P2</t>
  </si>
  <si>
    <t>batch names &amp; dates separated into 2 rows</t>
  </si>
  <si>
    <t>PMG_C_01142026_ESC_C2</t>
  </si>
  <si>
    <t>blanks filled in w/ above date</t>
  </si>
  <si>
    <t>PMG_C_01152026_CCAN_C8</t>
  </si>
  <si>
    <t>PMG_C_01152026_ESC_C4</t>
  </si>
  <si>
    <t>PMG_C_01162026_ESC_C4</t>
  </si>
  <si>
    <t>PMG_C_01192026_BRECK_C1</t>
  </si>
  <si>
    <t>PMG_C_01192026_ESC_C4</t>
  </si>
  <si>
    <t>PMG_C_01202026_ESC_C4</t>
  </si>
  <si>
    <t>processing date occuring before sent date</t>
  </si>
  <si>
    <t>Bertram, Spencer</t>
  </si>
  <si>
    <t>PMGPLLC_C_01292026_CLARE_P</t>
  </si>
  <si>
    <t>Dr Spencer Bertram</t>
  </si>
  <si>
    <t>Clare</t>
  </si>
  <si>
    <t>Massey, Chelsea</t>
  </si>
  <si>
    <t>PMG_C_01302026_RHEA_C4</t>
  </si>
  <si>
    <t>Chelsea Massey, CNP</t>
  </si>
  <si>
    <t>iStats Volumes  (PMG)</t>
  </si>
  <si>
    <t>Sum of Cover Sheet Volumes (VEE)</t>
  </si>
  <si>
    <t>Sum of Charge Sheet Volumes (VEE)</t>
  </si>
  <si>
    <t>Sum of iStats Volumes (Stats Query tab) (PMG)</t>
  </si>
  <si>
    <t>Sum of Cover vs Charge Variance</t>
  </si>
  <si>
    <t>Sum of Cover vs iStats Variance</t>
  </si>
  <si>
    <t>Sum of Charge vs iStats Variance</t>
  </si>
  <si>
    <t>OK</t>
  </si>
  <si>
    <t>Variance</t>
  </si>
  <si>
    <t>Breckinridge Health Total</t>
  </si>
  <si>
    <t>Clare Total</t>
  </si>
  <si>
    <t>Crystal Clinic Total</t>
  </si>
  <si>
    <t>Crystal Clinic Canton Total</t>
  </si>
  <si>
    <t>Crystal Clinic Cuyahoga Falls Total</t>
  </si>
  <si>
    <t>Crystal Clinic Independence Total</t>
  </si>
  <si>
    <t>Edgewood Total</t>
  </si>
  <si>
    <t>Paulding County Total</t>
  </si>
  <si>
    <t>Rhea Medical Center Total</t>
  </si>
  <si>
    <t>Twin Lakes RMC Total</t>
  </si>
  <si>
    <t>Van Wert Total</t>
  </si>
  <si>
    <t>Grand Total</t>
  </si>
  <si>
    <t>Average of Days to PPM</t>
  </si>
  <si>
    <t>Max of Days to PPM</t>
  </si>
  <si>
    <t>Average of Onshore to Offshore Days</t>
  </si>
  <si>
    <t>Max of Onshore to Offshore Days</t>
  </si>
  <si>
    <t>Average of Offshore Processing Days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</si>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</sst>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3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4" fillId="0" borderId="0" xfId="0" applyFont="1"/>
    <xf numFmtId="14" fontId="5" fillId="2" borderId="0" xfId="0" applyNumberFormat="1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/>
    <xf numFmtId="1" fontId="2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4" fontId="2" fillId="0" borderId="1" xfId="0" applyNumberFormat="1" applyFont="1" applyBorder="1" applyAlignment="1">
      <alignment horizontal="center" vertical="center" wrapText="1"/>
    </xf>
    <xf numFmtId="1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ill="1"/>
    <xf numFmtId="14" fontId="3" fillId="2" borderId="1" xfId="0" applyNumberFormat="1" applyFont="1" applyFill="1" applyBorder="1" applyAlignment="1">
      <alignment horizontal="center" vertical="center" wrapText="1"/>
    </xf>
    <xf numFmtId="14" fontId="5" fillId="4" borderId="0" xfId="0" applyNumberFormat="1" applyFont="1" applyFill="1"/>
    <xf numFmtId="14" fontId="3" fillId="4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alignment horizontal="general" vertical="bottom" textRotation="0" wrapText="1" indent="0" justifyLastLine="0" shrinkToFit="0" readingOrder="0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8.70956412037" createdVersion="8" refreshedVersion="8" minRefreshableVersion="3" recordCount="37" xr:uid="{998FA8F6-22FA-49C3-9417-8689CE0451B6}">
  <cacheSource type="worksheet">
    <worksheetSource ref="A1:T39" sheet="Data"/>
  </cacheSource>
  <cacheFields count="17">
    <cacheField name="Provider Name (Last, First)" numFmtId="0">
      <sharedItems/>
    </cacheField>
    <cacheField name="Batch Name (FIle Name)" numFmtId="0">
      <sharedItems/>
    </cacheField>
    <cacheField name="iStats Provider Name" numFmtId="0">
      <sharedItems/>
    </cacheField>
    <cacheField name="Clinic/Procedures" numFmtId="0">
      <sharedItems/>
    </cacheField>
    <cacheField name="Date of Service" numFmtId="14">
      <sharedItems containsSemiMixedTypes="0" containsNonDate="0" containsDate="1" containsString="0" minDate="2026-01-05T00:00:00" maxDate="2026-01-31T00:00:00"/>
    </cacheField>
    <cacheField name="Location" numFmtId="0">
      <sharedItems count="11">
        <s v="Breckinridge Health"/>
        <s v="Rhea Medical Center"/>
        <s v="Crystal Clinic"/>
        <s v="Crystal Clinic Canton"/>
        <s v="Edgewood"/>
        <s v="Twin Lakes RMC"/>
        <s v="Crystal Clinic Independence"/>
        <s v="Paulding County"/>
        <s v="Crystal Clinic Cuyahoga Falls"/>
        <s v="Van Wert"/>
        <s v="Clare"/>
      </sharedItems>
    </cacheField>
    <cacheField name="Onshore Received Date (PPM)" numFmtId="14">
      <sharedItems containsSemiMixedTypes="0" containsNonDate="0" containsDate="1" containsString="0" minDate="2026-01-06T00:00:00" maxDate="2026-01-31T00:00:00"/>
    </cacheField>
    <cacheField name="Sent to Offshore Date (PPM)" numFmtId="14">
      <sharedItems containsSemiMixedTypes="0" containsNonDate="0" containsDate="1" containsString="0" minDate="2026-01-06T00:00:00" maxDate="2026-02-03T00:00:00"/>
    </cacheField>
    <cacheField name="Offshore Process Date (VEE)" numFmtId="14">
      <sharedItems containsSemiMixedTypes="0" containsNonDate="0" containsDate="1" containsString="0" minDate="2026-01-12T00:00:00" maxDate="2026-02-02T00:00:00"/>
    </cacheField>
    <cacheField name="Cover Sheet Volumes (VEE)" numFmtId="0">
      <sharedItems containsSemiMixedTypes="0" containsString="0" containsNumber="1" containsInteger="1" minValue="1" maxValue="25"/>
    </cacheField>
    <cacheField name="Charge Sheet Volumes (VEE)" numFmtId="0">
      <sharedItems containsSemiMixedTypes="0" containsString="0" containsNumber="1" containsInteger="1" minValue="1" maxValue="25"/>
    </cacheField>
    <cacheField name="iStats Volumes (Stats Query tab) (PMG)" numFmtId="0">
      <sharedItems containsSemiMixedTypes="0" containsString="0" containsNumber="1" containsInteger="1" minValue="2" maxValue="25"/>
    </cacheField>
    <cacheField name="Notes" numFmtId="0">
      <sharedItems containsSemiMixedTypes="0" containsString="0" containsNumber="1" containsInteger="1" minValue="2" maxValue="25"/>
    </cacheField>
    <cacheField name="Cover vs Charge Variance" numFmtId="0">
      <sharedItems containsSemiMixedTypes="0" containsString="0" containsNumber="1" containsInteger="1" minValue="0" maxValue="4"/>
    </cacheField>
    <cacheField name="Cover vs iStats Variance" numFmtId="0">
      <sharedItems containsSemiMixedTypes="0" containsString="0" containsNumber="1" containsInteger="1" minValue="-3" maxValue="21"/>
    </cacheField>
    <cacheField name="Charge vs iStats Variance" numFmtId="0">
      <sharedItems containsSemiMixedTypes="0" containsString="0" containsNumber="1" containsInteger="1" minValue="-4" maxValue="21"/>
    </cacheField>
    <cacheField name="Flag" numFmtId="0">
      <sharedItems count="2">
        <s v="Variance"/>
        <s v="O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1.506748032407" createdVersion="8" refreshedVersion="8" minRefreshableVersion="3" recordCount="37" xr:uid="{C1499F6C-91F4-4F67-88E6-5F9B4D864344}">
  <cacheSource type="worksheet">
    <worksheetSource name="Table1"/>
  </cacheSource>
  <cacheFields count="20">
    <cacheField name="Provider Name (Last, First)" numFmtId="0">
      <sharedItems/>
    </cacheField>
    <cacheField name="Batch Name (FIle Name)" numFmtId="0">
      <sharedItems/>
    </cacheField>
    <cacheField name="iStats Provider Name" numFmtId="0">
      <sharedItems/>
    </cacheField>
    <cacheField name="Clinic/Procedures" numFmtId="0">
      <sharedItems/>
    </cacheField>
    <cacheField name="Date of Service" numFmtId="14">
      <sharedItems containsSemiMixedTypes="0" containsNonDate="0" containsDate="1" containsString="0" minDate="2026-01-05T00:00:00" maxDate="2026-01-31T00:00:00"/>
    </cacheField>
    <cacheField name="Location" numFmtId="0">
      <sharedItems count="11">
        <s v="Breckinridge Health"/>
        <s v="Rhea Medical Center"/>
        <s v="Crystal Clinic"/>
        <s v="Crystal Clinic Canton"/>
        <s v="Edgewood"/>
        <s v="Twin Lakes RMC"/>
        <s v="Crystal Clinic Independence"/>
        <s v="Paulding County"/>
        <s v="Crystal Clinic Cuyahoga Falls"/>
        <s v="Van Wert"/>
        <s v="Clare"/>
      </sharedItems>
    </cacheField>
    <cacheField name="Onshore Received Date (PPM)" numFmtId="14">
      <sharedItems containsSemiMixedTypes="0" containsNonDate="0" containsDate="1" containsString="0" minDate="2026-01-06T00:00:00" maxDate="2026-01-31T00:00:00"/>
    </cacheField>
    <cacheField name="Sent to Offshore Date (PPM)" numFmtId="14">
      <sharedItems containsSemiMixedTypes="0" containsNonDate="0" containsDate="1" containsString="0" minDate="2026-01-06T00:00:00" maxDate="2026-02-03T00:00:00"/>
    </cacheField>
    <cacheField name="Offshore Process Date (VEE)" numFmtId="14">
      <sharedItems containsSemiMixedTypes="0" containsNonDate="0" containsDate="1" containsString="0" minDate="2026-01-12T00:00:00" maxDate="2026-02-02T00:00:00"/>
    </cacheField>
    <cacheField name="Days to PPM" numFmtId="1">
      <sharedItems containsSemiMixedTypes="0" containsString="0" containsNumber="1" containsInteger="1" minValue="1" maxValue="5"/>
    </cacheField>
    <cacheField name="Onshore to Offshore Days" numFmtId="1">
      <sharedItems containsSemiMixedTypes="0" containsString="0" containsNumber="1" containsInteger="1" minValue="1" maxValue="4"/>
    </cacheField>
    <cacheField name="Offshore Processing Days" numFmtId="1">
      <sharedItems containsMixedTypes="1" containsNumber="1" containsInteger="1" minValue="2" maxValue="17"/>
    </cacheField>
    <cacheField name="Cover Sheet Volumes (VEE)" numFmtId="0">
      <sharedItems containsSemiMixedTypes="0" containsString="0" containsNumber="1" containsInteger="1" minValue="1" maxValue="25"/>
    </cacheField>
    <cacheField name="Charge Sheet Volumes (VEE)" numFmtId="0">
      <sharedItems containsSemiMixedTypes="0" containsString="0" containsNumber="1" containsInteger="1" minValue="1" maxValue="25"/>
    </cacheField>
    <cacheField name="iStats Volumes (Stats Query tab) (PMG)" numFmtId="0">
      <sharedItems containsSemiMixedTypes="0" containsString="0" containsNumber="1" containsInteger="1" minValue="2" maxValue="25"/>
    </cacheField>
    <cacheField name="Notes" numFmtId="0">
      <sharedItems containsNonDate="0" containsString="0" containsBlank="1"/>
    </cacheField>
    <cacheField name="Cover vs Charge Variance" numFmtId="0">
      <sharedItems containsSemiMixedTypes="0" containsString="0" containsNumber="1" containsInteger="1" minValue="0" maxValue="4"/>
    </cacheField>
    <cacheField name="Cover vs iStats Variance" numFmtId="0">
      <sharedItems containsSemiMixedTypes="0" containsString="0" containsNumber="1" containsInteger="1" minValue="-3" maxValue="21"/>
    </cacheField>
    <cacheField name="Charge vs iStats Variance" numFmtId="0">
      <sharedItems containsSemiMixedTypes="0" containsString="0" containsNumber="1" containsInteger="1" minValue="-4" maxValue="21"/>
    </cacheField>
    <cacheField name="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oles, Jill"/>
    <s v="PMG_C_01052026_BRECK_C1"/>
    <s v="Jill Coles, CNP"/>
    <s v="Clinics"/>
    <d v="2026-01-05T00:00:00"/>
    <x v="0"/>
    <d v="2026-01-07T00:00:00"/>
    <d v="2026-01-09T00:00:00"/>
    <d v="2026-01-12T00:00:00"/>
    <n v="14"/>
    <n v="14"/>
    <n v="12"/>
    <n v="12"/>
    <n v="0"/>
    <n v="2"/>
    <n v="2"/>
    <x v="0"/>
  </r>
  <r>
    <s v="Black, Chase"/>
    <s v="PMG_C_01052026_RHEA_C"/>
    <s v="Dr. Chase Black"/>
    <s v="Clinics"/>
    <d v="2026-01-05T00:00:00"/>
    <x v="1"/>
    <d v="2026-01-09T00:00:00"/>
    <d v="2026-01-13T00:00:00"/>
    <d v="2026-01-14T00:00:00"/>
    <n v="17"/>
    <n v="16"/>
    <n v="17"/>
    <n v="17"/>
    <n v="1"/>
    <n v="0"/>
    <n v="-1"/>
    <x v="0"/>
  </r>
  <r>
    <s v="Dulgar, Amy"/>
    <s v="PMG_C_01052026_CYSTL_C7"/>
    <s v="Amy Dulgar, CNP"/>
    <s v="Clinics"/>
    <d v="2026-01-05T00:00:00"/>
    <x v="2"/>
    <d v="2026-01-06T00:00:00"/>
    <d v="2026-01-06T00:00:00"/>
    <d v="2026-01-28T00:00:00"/>
    <n v="21"/>
    <n v="21"/>
    <n v="21"/>
    <n v="21"/>
    <n v="0"/>
    <n v="0"/>
    <n v="0"/>
    <x v="1"/>
  </r>
  <r>
    <s v="Derhammer, Elizabeth"/>
    <s v="PMG_C_01062026_CCAN_C8"/>
    <s v="Elizabeth Derhammer, CNP"/>
    <s v="Clinics"/>
    <d v="2026-01-06T00:00:00"/>
    <x v="3"/>
    <d v="2026-01-07T00:00:00"/>
    <d v="2026-01-09T00:00:00"/>
    <d v="2026-01-12T00:00:00"/>
    <n v="19"/>
    <n v="19"/>
    <n v="19"/>
    <n v="19"/>
    <n v="0"/>
    <n v="0"/>
    <n v="0"/>
    <x v="1"/>
  </r>
  <r>
    <s v="Dodds, Valerie"/>
    <s v="PMG_C_01062026_ESC_C4"/>
    <s v="Valerie Dodds, CNP"/>
    <s v="Clinics"/>
    <d v="2026-01-06T00:00:00"/>
    <x v="4"/>
    <d v="2026-01-07T00:00:00"/>
    <d v="2026-01-09T00:00:00"/>
    <d v="2026-01-12T00:00:00"/>
    <n v="14"/>
    <n v="14"/>
    <n v="14"/>
    <n v="14"/>
    <n v="0"/>
    <n v="0"/>
    <n v="0"/>
    <x v="1"/>
  </r>
  <r>
    <s v="Black, Chase"/>
    <s v="PMG_C_01062026_RHEA_P"/>
    <s v="Dr. Chase Black"/>
    <s v="Procedures"/>
    <d v="2026-01-06T00:00:00"/>
    <x v="1"/>
    <d v="2026-01-09T00:00:00"/>
    <d v="2026-01-13T00:00:00"/>
    <d v="2026-01-14T00:00:00"/>
    <n v="25"/>
    <n v="25"/>
    <n v="25"/>
    <n v="25"/>
    <n v="0"/>
    <n v="0"/>
    <n v="0"/>
    <x v="1"/>
  </r>
  <r>
    <s v="Coles, Jill"/>
    <s v="PMG_C_01062026_TNLKS_C1"/>
    <s v="Jill Coles, CNP"/>
    <s v="Clinics"/>
    <d v="2026-01-06T00:00:00"/>
    <x v="5"/>
    <d v="2026-01-09T00:00:00"/>
    <d v="2026-01-13T00:00:00"/>
    <d v="2026-01-15T00:00:00"/>
    <n v="25"/>
    <n v="25"/>
    <n v="25"/>
    <n v="25"/>
    <n v="0"/>
    <n v="0"/>
    <n v="0"/>
    <x v="1"/>
  </r>
  <r>
    <s v="Dulgar, Amy"/>
    <s v="PMG_C_01062026_CYSTL_C7"/>
    <s v="Amy Dulgar, CNP"/>
    <s v="Clinics"/>
    <d v="2026-01-06T00:00:00"/>
    <x v="2"/>
    <d v="2026-01-09T00:00:00"/>
    <d v="2026-01-13T00:00:00"/>
    <d v="2026-01-19T00:00:00"/>
    <n v="23"/>
    <n v="23"/>
    <n v="23"/>
    <n v="23"/>
    <n v="0"/>
    <n v="0"/>
    <n v="0"/>
    <x v="1"/>
  </r>
  <r>
    <s v="WATTS, JEFFREY"/>
    <s v="PMG_C_01072026_ESC_C2"/>
    <s v="WATTS, JEFFREY"/>
    <s v="Clinics"/>
    <d v="2026-01-07T00:00:00"/>
    <x v="4"/>
    <d v="2026-01-08T00:00:00"/>
    <d v="2026-01-09T00:00:00"/>
    <d v="2026-01-12T00:00:00"/>
    <n v="2"/>
    <n v="2"/>
    <n v="2"/>
    <n v="2"/>
    <n v="0"/>
    <n v="0"/>
    <n v="0"/>
    <x v="1"/>
  </r>
  <r>
    <s v="Dodds, Valerie"/>
    <s v="PMG_C_01072026_ESC_C4"/>
    <s v="Valerie Dodds, CNP"/>
    <s v="Clinics"/>
    <d v="2026-01-07T00:00:00"/>
    <x v="4"/>
    <d v="2026-01-08T00:00:00"/>
    <d v="2026-01-09T00:00:00"/>
    <d v="2026-01-12T00:00:00"/>
    <n v="19"/>
    <n v="17"/>
    <n v="2"/>
    <n v="2"/>
    <n v="2"/>
    <n v="17"/>
    <n v="15"/>
    <x v="0"/>
  </r>
  <r>
    <s v="Coles, Jill"/>
    <s v="PMG_C_01072026_TNLKS_C1"/>
    <s v="Jill Coles, CNP"/>
    <s v="Clinics"/>
    <d v="2026-01-07T00:00:00"/>
    <x v="5"/>
    <d v="2026-01-09T00:00:00"/>
    <d v="2026-01-13T00:00:00"/>
    <d v="2026-01-14T00:00:00"/>
    <n v="23"/>
    <n v="23"/>
    <n v="23"/>
    <n v="23"/>
    <n v="0"/>
    <n v="0"/>
    <n v="0"/>
    <x v="1"/>
  </r>
  <r>
    <s v="Bell, Abigail"/>
    <s v="PMG_C_01072026_CIND_C6"/>
    <s v="Abigail Bell, APRN"/>
    <s v="Clinics"/>
    <d v="2026-01-07T00:00:00"/>
    <x v="6"/>
    <d v="2026-01-09T00:00:00"/>
    <d v="2026-01-13T00:00:00"/>
    <d v="2026-01-15T00:00:00"/>
    <n v="19"/>
    <n v="19"/>
    <n v="19"/>
    <n v="19"/>
    <n v="0"/>
    <n v="0"/>
    <n v="0"/>
    <x v="1"/>
  </r>
  <r>
    <s v="Black, Chase"/>
    <s v="PMG_C_01072026_RHEA_C"/>
    <s v="Dr. Chase Black"/>
    <s v="Clinics"/>
    <d v="2026-01-07T00:00:00"/>
    <x v="1"/>
    <d v="2026-01-12T00:00:00"/>
    <d v="2026-01-13T00:00:00"/>
    <d v="2026-01-15T00:00:00"/>
    <n v="22"/>
    <n v="22"/>
    <n v="22"/>
    <n v="22"/>
    <n v="0"/>
    <n v="0"/>
    <n v="0"/>
    <x v="1"/>
  </r>
  <r>
    <s v="Dulgar, Amy"/>
    <s v="PMG_C_01072026_CYSTL_C7"/>
    <s v="Amy Dulgar, CNP"/>
    <s v="Clinics"/>
    <d v="2026-01-07T00:00:00"/>
    <x v="2"/>
    <d v="2026-01-09T00:00:00"/>
    <d v="2026-01-13T00:00:00"/>
    <d v="2026-01-19T00:00:00"/>
    <n v="20"/>
    <n v="20"/>
    <n v="20"/>
    <n v="20"/>
    <n v="0"/>
    <n v="0"/>
    <n v="0"/>
    <x v="1"/>
  </r>
  <r>
    <s v="Ball, Amber"/>
    <s v="PMG_C_01072026_PAULD_C2"/>
    <s v="Amber Ball, CNP"/>
    <s v="Clinics"/>
    <d v="2026-01-07T00:00:00"/>
    <x v="7"/>
    <d v="2026-01-09T00:00:00"/>
    <d v="2026-01-13T00:00:00"/>
    <d v="2026-01-20T00:00:00"/>
    <n v="10"/>
    <n v="10"/>
    <n v="10"/>
    <n v="10"/>
    <n v="0"/>
    <n v="0"/>
    <n v="0"/>
    <x v="1"/>
  </r>
  <r>
    <s v="Dulgar, Amy"/>
    <s v="PMG_C_01082026_CCAN_C7"/>
    <s v="Amy Dulgar, CNP"/>
    <s v="Clinics"/>
    <d v="2026-01-08T00:00:00"/>
    <x v="3"/>
    <d v="2026-01-08T00:00:00"/>
    <d v="2026-01-09T00:00:00"/>
    <d v="2026-01-12T00:00:00"/>
    <n v="20"/>
    <n v="20"/>
    <n v="20"/>
    <n v="20"/>
    <n v="0"/>
    <n v="0"/>
    <n v="0"/>
    <x v="1"/>
  </r>
  <r>
    <s v="Derhammer, Elizabeth"/>
    <s v="PMG_C_01082026_CYSTL_C8"/>
    <s v="Elizabeth Derhammer, CNP"/>
    <s v="Clinics"/>
    <d v="2026-01-08T00:00:00"/>
    <x v="2"/>
    <d v="2026-01-08T00:00:00"/>
    <d v="2026-01-09T00:00:00"/>
    <d v="2026-01-12T00:00:00"/>
    <n v="21"/>
    <n v="21"/>
    <n v="21"/>
    <n v="21"/>
    <n v="0"/>
    <n v="0"/>
    <n v="0"/>
    <x v="1"/>
  </r>
  <r>
    <s v="WATTS, JEFFREY"/>
    <s v="PMG_C_01082026_ESC_C2"/>
    <s v="WATTS, JEFFREY"/>
    <s v="Clinics"/>
    <d v="2026-01-08T00:00:00"/>
    <x v="4"/>
    <d v="2026-01-08T00:00:00"/>
    <d v="2026-01-09T00:00:00"/>
    <d v="2026-01-12T00:00:00"/>
    <n v="3"/>
    <n v="3"/>
    <n v="3"/>
    <n v="3"/>
    <n v="0"/>
    <n v="0"/>
    <n v="0"/>
    <x v="1"/>
  </r>
  <r>
    <s v="Black, Chase"/>
    <s v="PMG_C_01082026_RHEA_P PMG_C_01082026_RHEA_C"/>
    <s v="Dr. Chase Black"/>
    <s v="Procedures"/>
    <d v="2026-01-08T00:00:00"/>
    <x v="1"/>
    <d v="2026-01-12T00:00:00"/>
    <d v="2026-01-13T00:00:00"/>
    <d v="2026-01-15T00:00:00"/>
    <n v="25"/>
    <n v="25"/>
    <n v="25"/>
    <n v="25"/>
    <n v="0"/>
    <n v="0"/>
    <n v="0"/>
    <x v="1"/>
  </r>
  <r>
    <s v="Coles, Jill"/>
    <s v="PMG_C_01082026_TNLKS_C1"/>
    <s v="Jill Coles, CNP"/>
    <s v="Clinics"/>
    <d v="2026-01-08T00:00:00"/>
    <x v="5"/>
    <d v="2026-01-09T00:00:00"/>
    <d v="2026-01-13T00:00:00"/>
    <d v="2026-01-15T00:00:00"/>
    <n v="22"/>
    <n v="22"/>
    <n v="22"/>
    <n v="22"/>
    <n v="0"/>
    <n v="0"/>
    <n v="0"/>
    <x v="1"/>
  </r>
  <r>
    <s v="Dodds, Valerie"/>
    <s v="PMG_C_01082026_ESC_C4"/>
    <s v="Valerie Dodds, CNP"/>
    <s v="Clinics"/>
    <d v="2026-01-08T00:00:00"/>
    <x v="4"/>
    <d v="2026-01-09T00:00:00"/>
    <d v="2026-01-13T00:00:00"/>
    <d v="2026-01-19T00:00:00"/>
    <n v="24"/>
    <n v="24"/>
    <n v="3"/>
    <n v="3"/>
    <n v="0"/>
    <n v="21"/>
    <n v="21"/>
    <x v="0"/>
  </r>
  <r>
    <s v="Bell, Abigail"/>
    <s v="PMG_C_01082025_CFALL_C6"/>
    <s v="Abigail Bell, APRN"/>
    <s v="Clinics"/>
    <d v="2026-01-08T00:00:00"/>
    <x v="8"/>
    <d v="2026-01-09T00:00:00"/>
    <d v="2026-01-13T00:00:00"/>
    <d v="2026-01-20T00:00:00"/>
    <n v="20"/>
    <n v="20"/>
    <n v="20"/>
    <n v="20"/>
    <n v="0"/>
    <n v="0"/>
    <n v="0"/>
    <x v="1"/>
  </r>
  <r>
    <s v="Bell, Abigail"/>
    <s v="PMG_C_01092025_CFALL_C6"/>
    <s v="Abigail Bell, APRN"/>
    <s v="Clinics"/>
    <d v="2026-01-09T00:00:00"/>
    <x v="8"/>
    <d v="2026-01-09T00:00:00"/>
    <d v="2026-01-13T00:00:00"/>
    <d v="2026-01-19T00:00:00"/>
    <n v="19"/>
    <n v="19"/>
    <n v="19"/>
    <n v="19"/>
    <n v="0"/>
    <n v="0"/>
    <n v="0"/>
    <x v="1"/>
  </r>
  <r>
    <s v="Ball, Amber"/>
    <s v="PMG_C_01122026_VNWRT_C2"/>
    <s v="Amber Ball, CNP"/>
    <s v="Clinics"/>
    <d v="2026-01-12T00:00:00"/>
    <x v="9"/>
    <d v="2026-01-13T00:00:00"/>
    <d v="2026-01-13T00:00:00"/>
    <d v="2026-01-14T00:00:00"/>
    <n v="10"/>
    <n v="6"/>
    <n v="10"/>
    <n v="10"/>
    <n v="4"/>
    <n v="0"/>
    <n v="-4"/>
    <x v="0"/>
  </r>
  <r>
    <s v="Coles, Jill"/>
    <s v="PMG_C_01122026_BRECK_C1"/>
    <s v="Jill Coles, CNP"/>
    <s v="Clinics"/>
    <d v="2026-01-12T00:00:00"/>
    <x v="0"/>
    <d v="2026-01-15T00:00:00"/>
    <d v="2026-01-20T00:00:00"/>
    <d v="2026-01-21T00:00:00"/>
    <n v="20"/>
    <n v="20"/>
    <n v="20"/>
    <n v="20"/>
    <n v="0"/>
    <n v="0"/>
    <n v="0"/>
    <x v="1"/>
  </r>
  <r>
    <s v="Derhammer, Elizabeth"/>
    <s v="PMG_C_01132026_CCAN_C8"/>
    <s v="Elizabeth Derhammer, CNP"/>
    <s v="Clinics"/>
    <d v="2026-01-13T00:00:00"/>
    <x v="3"/>
    <d v="2026-01-16T00:00:00"/>
    <d v="2026-01-20T00:00:00"/>
    <d v="2026-01-26T00:00:00"/>
    <n v="17"/>
    <n v="17"/>
    <n v="17"/>
    <n v="17"/>
    <n v="0"/>
    <n v="0"/>
    <n v="0"/>
    <x v="1"/>
  </r>
  <r>
    <s v="WATTS, JEFFREY"/>
    <s v="PMG_C_01132026_ESC_C2"/>
    <s v="WATTS, JEFFREY"/>
    <s v="Clinics"/>
    <d v="2026-01-13T00:00:00"/>
    <x v="4"/>
    <d v="2026-01-13T00:00:00"/>
    <d v="2026-01-14T00:00:00"/>
    <d v="2026-01-26T00:00:00"/>
    <n v="1"/>
    <n v="1"/>
    <n v="4"/>
    <n v="4"/>
    <n v="0"/>
    <n v="-3"/>
    <n v="-3"/>
    <x v="0"/>
  </r>
  <r>
    <s v="WATTS, JEFFREY"/>
    <s v="PMG_C_01132026_ESC_P2"/>
    <s v="WATTS, JEFFREY"/>
    <s v="Clinics"/>
    <d v="2026-01-13T00:00:00"/>
    <x v="4"/>
    <d v="2026-01-15T00:00:00"/>
    <d v="2026-01-20T00:00:00"/>
    <d v="2026-01-26T00:00:00"/>
    <n v="1"/>
    <n v="1"/>
    <n v="4"/>
    <n v="4"/>
    <n v="0"/>
    <n v="-3"/>
    <n v="-3"/>
    <x v="0"/>
  </r>
  <r>
    <s v="WATTS, JEFFREY"/>
    <s v="PMG_C_01142026_ESC_C2"/>
    <s v="WATTS, JEFFREY"/>
    <s v="Clinics"/>
    <d v="2026-01-14T00:00:00"/>
    <x v="4"/>
    <d v="2026-01-15T00:00:00"/>
    <d v="2026-01-20T00:00:00"/>
    <d v="2026-01-22T00:00:00"/>
    <n v="5"/>
    <n v="5"/>
    <n v="5"/>
    <n v="5"/>
    <n v="0"/>
    <n v="0"/>
    <n v="0"/>
    <x v="1"/>
  </r>
  <r>
    <s v="Derhammer, Elizabeth"/>
    <s v="PMG_C_01152026_CCAN_C8"/>
    <s v="Elizabeth Derhammer, CNP"/>
    <s v="Clinics"/>
    <d v="2026-01-15T00:00:00"/>
    <x v="3"/>
    <d v="2026-01-16T00:00:00"/>
    <d v="2026-01-20T00:00:00"/>
    <d v="2026-01-23T00:00:00"/>
    <n v="17"/>
    <n v="17"/>
    <n v="17"/>
    <n v="17"/>
    <n v="0"/>
    <n v="0"/>
    <n v="0"/>
    <x v="1"/>
  </r>
  <r>
    <s v="Dodds, Valerie"/>
    <s v="PMG_C_01152026_ESC_C4"/>
    <s v="Valerie Dodds, CNP"/>
    <s v="Clinics"/>
    <d v="2026-01-15T00:00:00"/>
    <x v="4"/>
    <d v="2026-01-19T00:00:00"/>
    <d v="2026-01-21T00:00:00"/>
    <d v="2026-01-26T00:00:00"/>
    <n v="20"/>
    <n v="20"/>
    <n v="20"/>
    <n v="20"/>
    <n v="0"/>
    <n v="0"/>
    <n v="0"/>
    <x v="1"/>
  </r>
  <r>
    <s v="Dodds, Valerie"/>
    <s v="PMG_C_01162026_ESC_C4"/>
    <s v="Valerie Dodds, CNP"/>
    <s v="Clinics"/>
    <d v="2026-01-16T00:00:00"/>
    <x v="4"/>
    <d v="2026-01-19T00:00:00"/>
    <d v="2026-01-21T00:00:00"/>
    <d v="2026-01-22T00:00:00"/>
    <n v="16"/>
    <n v="14"/>
    <n v="16"/>
    <n v="16"/>
    <n v="2"/>
    <n v="0"/>
    <n v="-2"/>
    <x v="0"/>
  </r>
  <r>
    <s v="Coles, Jill"/>
    <s v="PMG_C_01192026_BRECK_C1"/>
    <s v="Jill Coles, CNP"/>
    <s v="Clinics"/>
    <d v="2026-01-19T00:00:00"/>
    <x v="0"/>
    <d v="2026-01-19T00:00:00"/>
    <d v="2026-01-20T00:00:00"/>
    <d v="2026-01-22T00:00:00"/>
    <n v="18"/>
    <n v="18"/>
    <n v="18"/>
    <n v="18"/>
    <n v="0"/>
    <n v="0"/>
    <n v="0"/>
    <x v="1"/>
  </r>
  <r>
    <s v="Dodds, Valerie"/>
    <s v="PMG_C_01192026_ESC_C4"/>
    <s v="Valerie Dodds, CNP"/>
    <s v="Clinics"/>
    <d v="2026-01-19T00:00:00"/>
    <x v="4"/>
    <d v="2026-01-19T00:00:00"/>
    <d v="2026-01-21T00:00:00"/>
    <d v="2026-01-26T00:00:00"/>
    <n v="12"/>
    <n v="12"/>
    <n v="12"/>
    <n v="12"/>
    <n v="0"/>
    <n v="0"/>
    <n v="0"/>
    <x v="1"/>
  </r>
  <r>
    <s v="Dodds, Valerie"/>
    <s v="PMG_C_01202026_ESC_C4"/>
    <s v="Valerie Dodds, CNP"/>
    <s v="Clinics"/>
    <d v="2026-01-20T00:00:00"/>
    <x v="4"/>
    <d v="2026-01-26T00:00:00"/>
    <d v="2026-01-29T00:00:00"/>
    <d v="2026-01-23T00:00:00"/>
    <n v="18"/>
    <n v="18"/>
    <n v="18"/>
    <n v="18"/>
    <n v="0"/>
    <n v="0"/>
    <n v="0"/>
    <x v="1"/>
  </r>
  <r>
    <s v="Bertram, Spencer"/>
    <s v="PMGPLLC_C_01292026_CLARE_P"/>
    <s v="Dr Spencer Bertram"/>
    <s v="Procedures"/>
    <d v="2026-01-29T00:00:00"/>
    <x v="10"/>
    <d v="2026-01-30T00:00:00"/>
    <d v="2026-02-02T00:00:00"/>
    <d v="2026-02-01T00:00:00"/>
    <n v="22"/>
    <n v="22"/>
    <n v="22"/>
    <n v="22"/>
    <n v="0"/>
    <n v="0"/>
    <n v="0"/>
    <x v="1"/>
  </r>
  <r>
    <s v="Massey, Chelsea"/>
    <s v="PMG_C_01302026_RHEA_C4"/>
    <s v="Chelsea Massey, CNP"/>
    <s v="Clinics"/>
    <d v="2026-01-30T00:00:00"/>
    <x v="1"/>
    <d v="2026-01-30T00:00:00"/>
    <d v="2026-02-02T00:00:00"/>
    <d v="2026-02-01T00:00:00"/>
    <n v="23"/>
    <n v="23"/>
    <n v="23"/>
    <n v="23"/>
    <n v="0"/>
    <n v="0"/>
    <n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Coles, Jill"/>
    <s v="PMG_C_01052026_BRECK_C1"/>
    <s v="Jill Coles, CNP"/>
    <s v="Clinics"/>
    <d v="2026-01-05T00:00:00"/>
    <x v="0"/>
    <d v="2026-01-07T00:00:00"/>
    <d v="2026-01-09T00:00:00"/>
    <d v="2026-01-12T00:00:00"/>
    <n v="3"/>
    <n v="3"/>
    <n v="2"/>
    <n v="14"/>
    <n v="14"/>
    <n v="12"/>
    <m/>
    <n v="0"/>
    <n v="2"/>
    <n v="2"/>
    <s v="Variance"/>
  </r>
  <r>
    <s v="Black, Chase"/>
    <s v="PMG_C_01052026_RHEA_C"/>
    <s v="Dr. Chase Black"/>
    <s v="Clinics"/>
    <d v="2026-01-05T00:00:00"/>
    <x v="1"/>
    <d v="2026-01-09T00:00:00"/>
    <d v="2026-01-13T00:00:00"/>
    <d v="2026-01-14T00:00:00"/>
    <n v="5"/>
    <n v="3"/>
    <n v="2"/>
    <n v="17"/>
    <n v="16"/>
    <n v="17"/>
    <m/>
    <n v="1"/>
    <n v="0"/>
    <n v="-1"/>
    <s v="Variance"/>
  </r>
  <r>
    <s v="Dulgar, Amy"/>
    <s v="PMG_C_01052026_CYSTL_C7"/>
    <s v="Amy Dulgar, CNP"/>
    <s v="Clinics"/>
    <d v="2026-01-05T00:00:00"/>
    <x v="2"/>
    <d v="2026-01-06T00:00:00"/>
    <d v="2026-01-06T00:00:00"/>
    <d v="2026-01-28T00:00:00"/>
    <n v="2"/>
    <n v="1"/>
    <n v="17"/>
    <n v="21"/>
    <n v="21"/>
    <n v="21"/>
    <m/>
    <n v="0"/>
    <n v="0"/>
    <n v="0"/>
    <s v="Variance"/>
  </r>
  <r>
    <s v="Derhammer, Elizabeth"/>
    <s v="PMG_C_01062026_CCAN_C8"/>
    <s v="Elizabeth Derhammer, CNP"/>
    <s v="Clinics"/>
    <d v="2026-01-06T00:00:00"/>
    <x v="3"/>
    <d v="2026-01-07T00:00:00"/>
    <d v="2026-01-09T00:00:00"/>
    <d v="2026-01-12T00:00:00"/>
    <n v="2"/>
    <n v="3"/>
    <n v="2"/>
    <n v="19"/>
    <n v="19"/>
    <n v="19"/>
    <m/>
    <n v="0"/>
    <n v="0"/>
    <n v="0"/>
    <s v="Variance"/>
  </r>
  <r>
    <s v="Dodds, Valerie"/>
    <s v="PMG_C_01062026_ESC_C4"/>
    <s v="Valerie Dodds, CNP"/>
    <s v="Clinics"/>
    <d v="2026-01-06T00:00:00"/>
    <x v="4"/>
    <d v="2026-01-07T00:00:00"/>
    <d v="2026-01-09T00:00:00"/>
    <d v="2026-01-12T00:00:00"/>
    <n v="2"/>
    <n v="3"/>
    <n v="2"/>
    <n v="14"/>
    <n v="14"/>
    <n v="14"/>
    <m/>
    <n v="0"/>
    <n v="0"/>
    <n v="0"/>
    <s v="Variance"/>
  </r>
  <r>
    <s v="Black, Chase"/>
    <s v="PMG_C_01062026_RHEA_P"/>
    <s v="Dr. Chase Black"/>
    <s v="Procedures"/>
    <d v="2026-01-06T00:00:00"/>
    <x v="1"/>
    <d v="2026-01-09T00:00:00"/>
    <d v="2026-01-13T00:00:00"/>
    <d v="2026-01-14T00:00:00"/>
    <n v="4"/>
    <n v="3"/>
    <n v="2"/>
    <n v="25"/>
    <n v="25"/>
    <n v="25"/>
    <m/>
    <n v="0"/>
    <n v="0"/>
    <n v="0"/>
    <s v="Variance"/>
  </r>
  <r>
    <s v="Coles, Jill"/>
    <s v="PMG_C_01062026_TNLKS_C1"/>
    <s v="Jill Coles, CNP"/>
    <s v="Clinics"/>
    <d v="2026-01-06T00:00:00"/>
    <x v="5"/>
    <d v="2026-01-09T00:00:00"/>
    <d v="2026-01-13T00:00:00"/>
    <d v="2026-01-15T00:00:00"/>
    <n v="4"/>
    <n v="3"/>
    <n v="3"/>
    <n v="25"/>
    <n v="25"/>
    <n v="25"/>
    <m/>
    <n v="0"/>
    <n v="0"/>
    <n v="0"/>
    <s v="Variance"/>
  </r>
  <r>
    <s v="Dulgar, Amy"/>
    <s v="PMG_C_01062026_CYSTL_C7"/>
    <s v="Amy Dulgar, CNP"/>
    <s v="Clinics"/>
    <d v="2026-01-06T00:00:00"/>
    <x v="2"/>
    <d v="2026-01-09T00:00:00"/>
    <d v="2026-01-13T00:00:00"/>
    <d v="2026-01-19T00:00:00"/>
    <n v="4"/>
    <n v="3"/>
    <n v="5"/>
    <n v="23"/>
    <n v="23"/>
    <n v="23"/>
    <m/>
    <n v="0"/>
    <n v="0"/>
    <n v="0"/>
    <s v="Variance"/>
  </r>
  <r>
    <s v="WATTS, JEFFREY"/>
    <s v="PMG_C_01072026_ESC_C2"/>
    <s v="WATTS, JEFFREY"/>
    <s v="Clinics"/>
    <d v="2026-01-07T00:00:00"/>
    <x v="4"/>
    <d v="2026-01-08T00:00:00"/>
    <d v="2026-01-09T00:00:00"/>
    <d v="2026-01-12T00:00:00"/>
    <n v="2"/>
    <n v="2"/>
    <n v="2"/>
    <n v="2"/>
    <n v="2"/>
    <n v="2"/>
    <m/>
    <n v="0"/>
    <n v="0"/>
    <n v="0"/>
    <s v="Variance"/>
  </r>
  <r>
    <s v="Dodds, Valerie"/>
    <s v="PMG_C_01072026_ESC_C4"/>
    <s v="Valerie Dodds, CNP"/>
    <s v="Clinics"/>
    <d v="2026-01-07T00:00:00"/>
    <x v="4"/>
    <d v="2026-01-08T00:00:00"/>
    <d v="2026-01-09T00:00:00"/>
    <d v="2026-01-12T00:00:00"/>
    <n v="2"/>
    <n v="2"/>
    <n v="2"/>
    <n v="19"/>
    <n v="17"/>
    <n v="2"/>
    <m/>
    <n v="2"/>
    <n v="17"/>
    <n v="15"/>
    <s v="Variance"/>
  </r>
  <r>
    <s v="Coles, Jill"/>
    <s v="PMG_C_01072026_TNLKS_C1"/>
    <s v="Jill Coles, CNP"/>
    <s v="Clinics"/>
    <d v="2026-01-07T00:00:00"/>
    <x v="5"/>
    <d v="2026-01-09T00:00:00"/>
    <d v="2026-01-13T00:00:00"/>
    <d v="2026-01-14T00:00:00"/>
    <n v="3"/>
    <n v="3"/>
    <n v="2"/>
    <n v="23"/>
    <n v="23"/>
    <n v="23"/>
    <m/>
    <n v="0"/>
    <n v="0"/>
    <n v="0"/>
    <s v="Variance"/>
  </r>
  <r>
    <s v="Bell, Abigail"/>
    <s v="PMG_C_01072026_CIND_C6"/>
    <s v="Abigail Bell, APRN"/>
    <s v="Clinics"/>
    <d v="2026-01-07T00:00:00"/>
    <x v="6"/>
    <d v="2026-01-09T00:00:00"/>
    <d v="2026-01-13T00:00:00"/>
    <d v="2026-01-15T00:00:00"/>
    <n v="3"/>
    <n v="3"/>
    <n v="3"/>
    <n v="19"/>
    <n v="19"/>
    <n v="19"/>
    <m/>
    <n v="0"/>
    <n v="0"/>
    <n v="0"/>
    <s v="Variance"/>
  </r>
  <r>
    <s v="Black, Chase"/>
    <s v="PMG_C_01072026_RHEA_C"/>
    <s v="Dr. Chase Black"/>
    <s v="Clinics"/>
    <d v="2026-01-07T00:00:00"/>
    <x v="1"/>
    <d v="2026-01-12T00:00:00"/>
    <d v="2026-01-13T00:00:00"/>
    <d v="2026-01-15T00:00:00"/>
    <n v="4"/>
    <n v="2"/>
    <n v="3"/>
    <n v="22"/>
    <n v="22"/>
    <n v="22"/>
    <m/>
    <n v="0"/>
    <n v="0"/>
    <n v="0"/>
    <s v="Variance"/>
  </r>
  <r>
    <s v="Dulgar, Amy"/>
    <s v="PMG_C_01072026_CYSTL_C7"/>
    <s v="Amy Dulgar, CNP"/>
    <s v="Clinics"/>
    <d v="2026-01-07T00:00:00"/>
    <x v="2"/>
    <d v="2026-01-09T00:00:00"/>
    <d v="2026-01-13T00:00:00"/>
    <d v="2026-01-19T00:00:00"/>
    <n v="3"/>
    <n v="3"/>
    <n v="5"/>
    <n v="20"/>
    <n v="20"/>
    <n v="20"/>
    <m/>
    <n v="0"/>
    <n v="0"/>
    <n v="0"/>
    <s v="Variance"/>
  </r>
  <r>
    <s v="Ball, Amber"/>
    <s v="PMG_C_01072026_PAULD_C2"/>
    <s v="Amber Ball, CNP"/>
    <s v="Clinics"/>
    <d v="2026-01-07T00:00:00"/>
    <x v="7"/>
    <d v="2026-01-09T00:00:00"/>
    <d v="2026-01-13T00:00:00"/>
    <d v="2026-01-20T00:00:00"/>
    <n v="3"/>
    <n v="3"/>
    <n v="6"/>
    <n v="10"/>
    <n v="10"/>
    <n v="10"/>
    <m/>
    <n v="0"/>
    <n v="0"/>
    <n v="0"/>
    <s v="Variance"/>
  </r>
  <r>
    <s v="Dulgar, Amy"/>
    <s v="PMG_C_01082026_CCAN_C7"/>
    <s v="Amy Dulgar, CNP"/>
    <s v="Clinics"/>
    <d v="2026-01-08T00:00:00"/>
    <x v="3"/>
    <d v="2026-01-08T00:00:00"/>
    <d v="2026-01-09T00:00:00"/>
    <d v="2026-01-12T00:00:00"/>
    <n v="1"/>
    <n v="2"/>
    <n v="2"/>
    <n v="20"/>
    <n v="20"/>
    <n v="20"/>
    <m/>
    <n v="0"/>
    <n v="0"/>
    <n v="0"/>
    <s v="Variance"/>
  </r>
  <r>
    <s v="Derhammer, Elizabeth"/>
    <s v="PMG_C_01082026_CYSTL_C8"/>
    <s v="Elizabeth Derhammer, CNP"/>
    <s v="Clinics"/>
    <d v="2026-01-08T00:00:00"/>
    <x v="2"/>
    <d v="2026-01-08T00:00:00"/>
    <d v="2026-01-09T00:00:00"/>
    <d v="2026-01-12T00:00:00"/>
    <n v="1"/>
    <n v="2"/>
    <n v="2"/>
    <n v="21"/>
    <n v="21"/>
    <n v="21"/>
    <m/>
    <n v="0"/>
    <n v="0"/>
    <n v="0"/>
    <s v="Variance"/>
  </r>
  <r>
    <s v="WATTS, JEFFREY"/>
    <s v="PMG_C_01082026_ESC_C2"/>
    <s v="WATTS, JEFFREY"/>
    <s v="Clinics"/>
    <d v="2026-01-08T00:00:00"/>
    <x v="4"/>
    <d v="2026-01-08T00:00:00"/>
    <d v="2026-01-09T00:00:00"/>
    <d v="2026-01-12T00:00:00"/>
    <n v="1"/>
    <n v="2"/>
    <n v="2"/>
    <n v="3"/>
    <n v="3"/>
    <n v="3"/>
    <m/>
    <n v="0"/>
    <n v="0"/>
    <n v="0"/>
    <s v="Variance"/>
  </r>
  <r>
    <s v="Black, Chase"/>
    <s v="PMG_C_01082026_RHEA_P PMG_C_01082026_RHEA_C"/>
    <s v="Dr. Chase Black"/>
    <s v="Procedures"/>
    <d v="2026-01-08T00:00:00"/>
    <x v="1"/>
    <d v="2026-01-12T00:00:00"/>
    <d v="2026-01-13T00:00:00"/>
    <d v="2026-01-15T00:00:00"/>
    <n v="3"/>
    <n v="2"/>
    <n v="3"/>
    <n v="25"/>
    <n v="25"/>
    <n v="25"/>
    <m/>
    <n v="0"/>
    <n v="0"/>
    <n v="0"/>
    <s v="Variance"/>
  </r>
  <r>
    <s v="Coles, Jill"/>
    <s v="PMG_C_01082026_TNLKS_C1"/>
    <s v="Jill Coles, CNP"/>
    <s v="Clinics"/>
    <d v="2026-01-08T00:00:00"/>
    <x v="5"/>
    <d v="2026-01-09T00:00:00"/>
    <d v="2026-01-13T00:00:00"/>
    <d v="2026-01-15T00:00:00"/>
    <n v="2"/>
    <n v="3"/>
    <n v="3"/>
    <n v="22"/>
    <n v="22"/>
    <n v="22"/>
    <m/>
    <n v="0"/>
    <n v="0"/>
    <n v="0"/>
    <s v="Variance"/>
  </r>
  <r>
    <s v="Dodds, Valerie"/>
    <s v="PMG_C_01082026_ESC_C4"/>
    <s v="Valerie Dodds, CNP"/>
    <s v="Clinics"/>
    <d v="2026-01-08T00:00:00"/>
    <x v="4"/>
    <d v="2026-01-09T00:00:00"/>
    <d v="2026-01-13T00:00:00"/>
    <d v="2026-01-19T00:00:00"/>
    <n v="2"/>
    <n v="3"/>
    <n v="5"/>
    <n v="24"/>
    <n v="24"/>
    <n v="3"/>
    <m/>
    <n v="0"/>
    <n v="21"/>
    <n v="21"/>
    <s v="Variance"/>
  </r>
  <r>
    <s v="Bell, Abigail"/>
    <s v="PMG_C_01082025_CFALL_C6"/>
    <s v="Abigail Bell, APRN"/>
    <s v="Clinics"/>
    <d v="2026-01-08T00:00:00"/>
    <x v="8"/>
    <d v="2026-01-09T00:00:00"/>
    <d v="2026-01-13T00:00:00"/>
    <d v="2026-01-20T00:00:00"/>
    <n v="2"/>
    <n v="3"/>
    <n v="6"/>
    <n v="20"/>
    <n v="20"/>
    <n v="20"/>
    <m/>
    <n v="0"/>
    <n v="0"/>
    <n v="0"/>
    <s v="Variance"/>
  </r>
  <r>
    <s v="Bell, Abigail"/>
    <s v="PMG_C_01092025_CFALL_C6"/>
    <s v="Abigail Bell, APRN"/>
    <s v="Clinics"/>
    <d v="2026-01-09T00:00:00"/>
    <x v="8"/>
    <d v="2026-01-09T00:00:00"/>
    <d v="2026-01-13T00:00:00"/>
    <d v="2026-01-19T00:00:00"/>
    <n v="1"/>
    <n v="3"/>
    <n v="5"/>
    <n v="19"/>
    <n v="19"/>
    <n v="19"/>
    <m/>
    <n v="0"/>
    <n v="0"/>
    <n v="0"/>
    <s v="Variance"/>
  </r>
  <r>
    <s v="Ball, Amber"/>
    <s v="PMG_C_01122026_VNWRT_C2"/>
    <s v="Amber Ball, CNP"/>
    <s v="Clinics"/>
    <d v="2026-01-12T00:00:00"/>
    <x v="9"/>
    <d v="2026-01-13T00:00:00"/>
    <d v="2026-01-13T00:00:00"/>
    <d v="2026-01-14T00:00:00"/>
    <n v="2"/>
    <n v="1"/>
    <n v="2"/>
    <n v="10"/>
    <n v="6"/>
    <n v="10"/>
    <m/>
    <n v="4"/>
    <n v="0"/>
    <n v="-4"/>
    <s v="Variance"/>
  </r>
  <r>
    <s v="Coles, Jill"/>
    <s v="PMG_C_01122026_BRECK_C1"/>
    <s v="Jill Coles, CNP"/>
    <s v="Clinics"/>
    <d v="2026-01-12T00:00:00"/>
    <x v="0"/>
    <d v="2026-01-15T00:00:00"/>
    <d v="2026-01-20T00:00:00"/>
    <d v="2026-01-21T00:00:00"/>
    <n v="4"/>
    <n v="4"/>
    <n v="2"/>
    <n v="20"/>
    <n v="20"/>
    <n v="20"/>
    <m/>
    <n v="0"/>
    <n v="0"/>
    <n v="0"/>
    <s v="Variance"/>
  </r>
  <r>
    <s v="Derhammer, Elizabeth"/>
    <s v="PMG_C_01132026_CCAN_C8"/>
    <s v="Elizabeth Derhammer, CNP"/>
    <s v="Clinics"/>
    <d v="2026-01-13T00:00:00"/>
    <x v="3"/>
    <d v="2026-01-16T00:00:00"/>
    <d v="2026-01-20T00:00:00"/>
    <d v="2026-01-26T00:00:00"/>
    <n v="4"/>
    <n v="3"/>
    <n v="5"/>
    <n v="17"/>
    <n v="17"/>
    <n v="17"/>
    <m/>
    <n v="0"/>
    <n v="0"/>
    <n v="0"/>
    <s v="Variance"/>
  </r>
  <r>
    <s v="WATTS, JEFFREY"/>
    <s v="PMG_C_01132026_ESC_C2"/>
    <s v="WATTS, JEFFREY"/>
    <s v="Clinics"/>
    <d v="2026-01-13T00:00:00"/>
    <x v="4"/>
    <d v="2026-01-13T00:00:00"/>
    <d v="2026-01-14T00:00:00"/>
    <d v="2026-01-26T00:00:00"/>
    <n v="1"/>
    <n v="2"/>
    <n v="9"/>
    <n v="1"/>
    <n v="1"/>
    <n v="4"/>
    <m/>
    <n v="0"/>
    <n v="-3"/>
    <n v="-3"/>
    <s v="Variance"/>
  </r>
  <r>
    <s v="WATTS, JEFFREY"/>
    <s v="PMG_C_01132026_ESC_P2"/>
    <s v="WATTS, JEFFREY"/>
    <s v="Clinics"/>
    <d v="2026-01-13T00:00:00"/>
    <x v="4"/>
    <d v="2026-01-15T00:00:00"/>
    <d v="2026-01-20T00:00:00"/>
    <d v="2026-01-26T00:00:00"/>
    <n v="3"/>
    <n v="4"/>
    <n v="5"/>
    <n v="1"/>
    <n v="1"/>
    <n v="4"/>
    <m/>
    <n v="0"/>
    <n v="-3"/>
    <n v="-3"/>
    <s v="Variance"/>
  </r>
  <r>
    <s v="WATTS, JEFFREY"/>
    <s v="PMG_C_01142026_ESC_C2"/>
    <s v="WATTS, JEFFREY"/>
    <s v="Clinics"/>
    <d v="2026-01-14T00:00:00"/>
    <x v="4"/>
    <d v="2026-01-15T00:00:00"/>
    <d v="2026-01-20T00:00:00"/>
    <d v="2026-01-22T00:00:00"/>
    <n v="2"/>
    <n v="4"/>
    <n v="3"/>
    <n v="5"/>
    <n v="5"/>
    <n v="5"/>
    <m/>
    <n v="0"/>
    <n v="0"/>
    <n v="0"/>
    <s v="Variance"/>
  </r>
  <r>
    <s v="Derhammer, Elizabeth"/>
    <s v="PMG_C_01152026_CCAN_C8"/>
    <s v="Elizabeth Derhammer, CNP"/>
    <s v="Clinics"/>
    <d v="2026-01-15T00:00:00"/>
    <x v="3"/>
    <d v="2026-01-16T00:00:00"/>
    <d v="2026-01-20T00:00:00"/>
    <d v="2026-01-23T00:00:00"/>
    <n v="2"/>
    <n v="3"/>
    <n v="4"/>
    <n v="17"/>
    <n v="17"/>
    <n v="17"/>
    <m/>
    <n v="0"/>
    <n v="0"/>
    <n v="0"/>
    <s v="Variance"/>
  </r>
  <r>
    <s v="Dodds, Valerie"/>
    <s v="PMG_C_01152026_ESC_C4"/>
    <s v="Valerie Dodds, CNP"/>
    <s v="Clinics"/>
    <d v="2026-01-15T00:00:00"/>
    <x v="4"/>
    <d v="2026-01-19T00:00:00"/>
    <d v="2026-01-21T00:00:00"/>
    <d v="2026-01-26T00:00:00"/>
    <n v="3"/>
    <n v="3"/>
    <n v="4"/>
    <n v="20"/>
    <n v="20"/>
    <n v="20"/>
    <m/>
    <n v="0"/>
    <n v="0"/>
    <n v="0"/>
    <s v="Variance"/>
  </r>
  <r>
    <s v="Dodds, Valerie"/>
    <s v="PMG_C_01162026_ESC_C4"/>
    <s v="Valerie Dodds, CNP"/>
    <s v="Clinics"/>
    <d v="2026-01-16T00:00:00"/>
    <x v="4"/>
    <d v="2026-01-19T00:00:00"/>
    <d v="2026-01-21T00:00:00"/>
    <d v="2026-01-22T00:00:00"/>
    <n v="2"/>
    <n v="3"/>
    <n v="2"/>
    <n v="16"/>
    <n v="14"/>
    <n v="16"/>
    <m/>
    <n v="2"/>
    <n v="0"/>
    <n v="-2"/>
    <s v="Variance"/>
  </r>
  <r>
    <s v="Coles, Jill"/>
    <s v="PMG_C_01192026_BRECK_C1"/>
    <s v="Jill Coles, CNP"/>
    <s v="Clinics"/>
    <d v="2026-01-19T00:00:00"/>
    <x v="0"/>
    <d v="2026-01-19T00:00:00"/>
    <d v="2026-01-20T00:00:00"/>
    <d v="2026-01-22T00:00:00"/>
    <n v="1"/>
    <n v="2"/>
    <n v="3"/>
    <n v="18"/>
    <n v="18"/>
    <n v="18"/>
    <m/>
    <n v="0"/>
    <n v="0"/>
    <n v="0"/>
    <s v="Variance"/>
  </r>
  <r>
    <s v="Dodds, Valerie"/>
    <s v="PMG_C_01192026_ESC_C4"/>
    <s v="Valerie Dodds, CNP"/>
    <s v="Clinics"/>
    <d v="2026-01-19T00:00:00"/>
    <x v="4"/>
    <d v="2026-01-19T00:00:00"/>
    <d v="2026-01-21T00:00:00"/>
    <d v="2026-01-26T00:00:00"/>
    <n v="1"/>
    <n v="3"/>
    <n v="4"/>
    <n v="12"/>
    <n v="12"/>
    <n v="12"/>
    <m/>
    <n v="0"/>
    <n v="0"/>
    <n v="0"/>
    <s v="Variance"/>
  </r>
  <r>
    <s v="Dodds, Valerie"/>
    <s v="PMG_C_01202026_ESC_C4"/>
    <s v="Valerie Dodds, CNP"/>
    <s v="Clinics"/>
    <d v="2026-01-20T00:00:00"/>
    <x v="4"/>
    <d v="2026-01-26T00:00:00"/>
    <d v="2026-01-29T00:00:00"/>
    <d v="2026-01-23T00:00:00"/>
    <n v="5"/>
    <n v="4"/>
    <s v=""/>
    <n v="18"/>
    <n v="18"/>
    <n v="18"/>
    <m/>
    <n v="0"/>
    <n v="0"/>
    <n v="0"/>
    <s v="Variance"/>
  </r>
  <r>
    <s v="Bertram, Spencer"/>
    <s v="PMGPLLC_C_01292026_CLARE_P"/>
    <s v="Dr Spencer Bertram"/>
    <s v="Procedures"/>
    <d v="2026-01-29T00:00:00"/>
    <x v="10"/>
    <d v="2026-01-30T00:00:00"/>
    <d v="2026-02-02T00:00:00"/>
    <d v="2026-02-01T00:00:00"/>
    <n v="2"/>
    <n v="2"/>
    <s v=""/>
    <n v="22"/>
    <n v="22"/>
    <n v="22"/>
    <m/>
    <n v="0"/>
    <n v="0"/>
    <n v="0"/>
    <s v="Variance"/>
  </r>
  <r>
    <s v="Massey, Chelsea"/>
    <s v="PMG_C_01302026_RHEA_C4"/>
    <s v="Chelsea Massey, CNP"/>
    <s v="Clinics"/>
    <d v="2026-01-30T00:00:00"/>
    <x v="1"/>
    <d v="2026-01-30T00:00:00"/>
    <d v="2026-02-02T00:00:00"/>
    <d v="2026-02-01T00:00:00"/>
    <n v="1"/>
    <n v="2"/>
    <s v=""/>
    <n v="23"/>
    <n v="23"/>
    <n v="23"/>
    <m/>
    <n v="0"/>
    <n v="0"/>
    <n v="0"/>
    <s v="Varianc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06F59-7829-4359-8419-E37EC2060485}" name="PivotTable1" cacheId="5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29" firstHeaderRow="0" firstDataRow="1" firstDataCol="2"/>
  <pivotFields count="17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2">
        <item x="0"/>
        <item x="10"/>
        <item x="2"/>
        <item x="3"/>
        <item x="8"/>
        <item x="6"/>
        <item x="4"/>
        <item x="7"/>
        <item x="1"/>
        <item x="5"/>
        <item x="9"/>
        <item t="default"/>
      </items>
    </pivotField>
    <pivotField compact="0" numFmtId="14" outline="0" showAll="0"/>
    <pivotField compact="0" numFmtId="14" outline="0" showAll="0"/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axis="axisRow" compact="0" outline="0" showAll="0">
      <items count="3">
        <item x="1"/>
        <item x="0"/>
        <item t="default"/>
      </items>
    </pivotField>
  </pivotFields>
  <rowFields count="2">
    <field x="5"/>
    <field x="16"/>
  </rowFields>
  <rowItems count="26">
    <i>
      <x/>
      <x/>
    </i>
    <i r="1">
      <x v="1"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t="default">
      <x v="5"/>
    </i>
    <i>
      <x v="6"/>
      <x/>
    </i>
    <i r="1">
      <x v="1"/>
    </i>
    <i t="default">
      <x v="6"/>
    </i>
    <i>
      <x v="7"/>
      <x/>
    </i>
    <i t="default">
      <x v="7"/>
    </i>
    <i>
      <x v="8"/>
      <x/>
    </i>
    <i r="1">
      <x v="1"/>
    </i>
    <i t="default">
      <x v="8"/>
    </i>
    <i>
      <x v="9"/>
      <x/>
    </i>
    <i t="default">
      <x v="9"/>
    </i>
    <i>
      <x v="10"/>
      <x v="1"/>
    </i>
    <i t="default">
      <x v="1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over Sheet Volumes (VEE)" fld="9" baseField="0" baseItem="0"/>
    <dataField name="Sum of Charge Sheet Volumes (VEE)" fld="10" baseField="0" baseItem="0"/>
    <dataField name="Sum of iStats Volumes (Stats Query tab) (PMG)" fld="11" baseField="0" baseItem="0"/>
    <dataField name="Sum of Cover vs Charge Variance" fld="13" baseField="0" baseItem="0"/>
    <dataField name="Sum of Cover vs iStats Variance" fld="14" baseField="0" baseItem="0"/>
    <dataField name="Sum of Charge vs iStats Variance" fld="15" baseField="0" baseItem="0"/>
  </dataFields>
  <formats count="6">
    <format dxfId="2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C74119-EA82-4F6B-88A4-35349C431818}" name="PivotTable4" cacheId="5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5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2">
        <item x="0"/>
        <item x="10"/>
        <item x="2"/>
        <item x="3"/>
        <item x="8"/>
        <item x="6"/>
        <item x="4"/>
        <item x="7"/>
        <item x="1"/>
        <item x="5"/>
        <item x="9"/>
        <item t="default"/>
      </items>
    </pivotField>
    <pivotField compact="0" numFmtId="14" outline="0" showAll="0"/>
    <pivotField compact="0" numFmtId="14" outline="0" showAll="0"/>
    <pivotField compact="0" numFmtId="14" outline="0" showAll="0"/>
    <pivotField dataField="1" compact="0" numFmtId="1" outline="0" showAll="0"/>
    <pivotField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ays to PPM" fld="9" subtotal="average" baseField="0" baseItem="0" numFmtId="1"/>
    <dataField name="Max of Days to PPM" fld="9" subtotal="max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6778F-BF55-4DA2-9A62-A791F7E757E4}" name="PivotTable6" cacheId="5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5" firstHeaderRow="0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2">
        <item x="0"/>
        <item x="10"/>
        <item x="2"/>
        <item x="3"/>
        <item x="8"/>
        <item x="6"/>
        <item x="4"/>
        <item x="7"/>
        <item x="1"/>
        <item x="5"/>
        <item x="9"/>
        <item t="default"/>
      </items>
    </pivotField>
    <pivotField compact="0" numFmtId="14" outline="0" showAll="0"/>
    <pivotField compact="0" numFmtId="14" outline="0" showAll="0"/>
    <pivotField compact="0" numFmtId="14" outline="0" showAll="0"/>
    <pivotField compact="0" numFmtId="1" outline="0" showAll="0"/>
    <pivotField dataField="1" compact="0" numFmtId="1" outline="0" showAll="0"/>
    <pivotField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Onshore to Offshore Days" fld="10" subtotal="average" baseField="0" baseItem="0" numFmtId="1"/>
    <dataField name="Max of Onshore to Offshore Days" fld="10" subtotal="max" baseField="0" baseItem="0" numFmtId="1"/>
  </dataFields>
  <formats count="2">
    <format dxfId="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DF296-0EAA-4C2F-A380-2D75B55861F4}" name="PivotTable7" cacheId="525" applyNumberFormats="0" applyBorderFormats="0" applyFontFormats="0" applyPatternFormats="0" applyAlignmentFormats="0" applyWidthHeightFormats="1" dataCaption="Values" errorCaption="--" showError="1" updatedVersion="8" minRefreshableVersion="3" useAutoFormatting="1" itemPrintTitles="1" createdVersion="8" indent="0" compact="0" compactData="0" multipleFieldFilters="0">
  <location ref="A3:B15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2">
        <item x="0"/>
        <item x="10"/>
        <item x="2"/>
        <item x="3"/>
        <item x="8"/>
        <item x="6"/>
        <item x="4"/>
        <item x="7"/>
        <item x="1"/>
        <item x="5"/>
        <item x="9"/>
        <item t="default"/>
      </items>
    </pivotField>
    <pivotField compact="0" numFmtId="14" outline="0" showAll="0"/>
    <pivotField compact="0" numFmtId="14" outline="0" showAll="0"/>
    <pivotField compact="0" numFmtId="14" outline="0" showAll="0"/>
    <pivotField compact="0" numFmtId="1" outline="0" showAll="0"/>
    <pivotField compact="0" numFmtId="1" outline="0" showAll="0"/>
    <pivotField dataField="1" compact="0" numFmtId="1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Offshore Processing Days" fld="11" subtotal="average" baseField="0" baseItem="0" numFmtId="1"/>
  </dataFields>
  <formats count="1"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6EAB81-6E78-4FE6-8771-A44B5980EC16}" name="Table1" displayName="Table1" ref="A1:T39" totalsRowShown="0" headerRowDxfId="25" tableBorderDxfId="24">
  <autoFilter ref="A1:T39" xr:uid="{846EAB81-6E78-4FE6-8771-A44B5980EC16}"/>
  <tableColumns count="20">
    <tableColumn id="1" xr3:uid="{F04856F4-1973-4549-9DC5-29F4CE34862B}" name="Provider Name (Last, First)" dataDxfId="23"/>
    <tableColumn id="2" xr3:uid="{3877A868-55B1-4B9E-B918-DCBDEE87C20E}" name="Batch Name (FIle Name)" dataDxfId="22"/>
    <tableColumn id="3" xr3:uid="{763AE91C-67E6-4BAF-83E3-009B91915D9E}" name="iStats Provider Name" dataDxfId="21"/>
    <tableColumn id="4" xr3:uid="{35C3276B-755B-4318-B9A1-DD5AC3BB1D5A}" name="Clinic/Procedures" dataDxfId="20"/>
    <tableColumn id="5" xr3:uid="{EE7A3405-AB2A-45D2-A434-6D70B209525A}" name="Date of Service" dataDxfId="19"/>
    <tableColumn id="6" xr3:uid="{1FCEB246-61B2-4690-9D91-4F412016F2C9}" name="Location" dataDxfId="18"/>
    <tableColumn id="7" xr3:uid="{58C4687E-FA57-4CC4-A23D-0F2216CEA2C8}" name="Onshore Received Date (PPM)" dataDxfId="17"/>
    <tableColumn id="8" xr3:uid="{69332B19-4DDC-4BF8-993F-173EACAB1007}" name="Sent to Offshore Date (PPM)" dataDxfId="16"/>
    <tableColumn id="9" xr3:uid="{B249D4F7-E98B-485C-AFF3-46FE0E71F63C}" name="Offshore Process Date (VEE)" dataDxfId="15"/>
    <tableColumn id="10" xr3:uid="{E2A5D615-AAF3-4771-B2B0-90D0BD2EBB6F}" name="Days to PPM" dataDxfId="14">
      <calculatedColumnFormula>NETWORKDAYS(E2,G2)</calculatedColumnFormula>
    </tableColumn>
    <tableColumn id="20" xr3:uid="{26F04F31-2075-4D00-837D-89B3445841A9}" name="Onshore to Offshore Days" dataDxfId="13">
      <calculatedColumnFormula>NETWORKDAYS(G2, H2)</calculatedColumnFormula>
    </tableColumn>
    <tableColumn id="21" xr3:uid="{A8E84313-5B6F-4826-9E4A-6FD0CEC5566B}" name="Offshore Processing Days" dataDxfId="12">
      <calculatedColumnFormula>IF(OR(H2="", I2="", I2&lt;H2), "", NETWORKDAYS(H2, I2))</calculatedColumnFormula>
    </tableColumn>
    <tableColumn id="11" xr3:uid="{D6D48694-0D4D-4C9D-9730-B8C8C7E8F903}" name="Cover Sheet Volumes (VEE)" dataDxfId="11"/>
    <tableColumn id="12" xr3:uid="{C3B210D2-B895-43B1-B3CD-3124888E0E8E}" name="Charge Sheet Volumes (VEE)" dataDxfId="10"/>
    <tableColumn id="13" xr3:uid="{0CCE79C0-86AA-42AA-B7D8-1EE8CE099BFB}" name="iStats Volumes (Stats Query tab) (PMG)" dataDxfId="9">
      <calculatedColumnFormula array="1">_xlfn.XLOOKUP(1,
 ('Stats Query'!C:C = E2) * ('Stats Query'!B:B = F2),
 'Stats Query'!D:D,
 "")</calculatedColumnFormula>
    </tableColumn>
    <tableColumn id="14" xr3:uid="{3225146E-4FCA-48C4-AED1-E471059B5C59}" name="Notes" dataDxfId="8"/>
    <tableColumn id="15" xr3:uid="{8E35EAC8-8F31-4B05-91E1-35BD86BF985A}" name="Cover vs Charge Variance">
      <calculatedColumnFormula>M2-N2</calculatedColumnFormula>
    </tableColumn>
    <tableColumn id="16" xr3:uid="{B366E429-D20E-4529-A25A-94FA08B89046}" name="Cover vs iStats Variance">
      <calculatedColumnFormula>M2-O2</calculatedColumnFormula>
    </tableColumn>
    <tableColumn id="17" xr3:uid="{6A74DC4B-2465-48E2-9951-996186661B67}" name="Charge vs iStats Variance">
      <calculatedColumnFormula>N2-O2</calculatedColumnFormula>
    </tableColumn>
    <tableColumn id="18" xr3:uid="{E89683FB-5B62-4E6D-9518-D53824E065FC}" name="Flag" dataDxfId="7">
      <calculatedColumnFormula>IF(OR(M2&lt;&gt;N2, M2&lt;&gt;O2, N2&lt;&gt;O2), "Variance", 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08377F-5536-4AC1-9890-92990F965841}" name="Table2" displayName="Table2" ref="B2:D38" totalsRowShown="0" headerRowDxfId="6" headerRowBorderDxfId="4" tableBorderDxfId="5" totalsRowBorderDxfId="3">
  <autoFilter ref="B2:D38" xr:uid="{1808377F-5536-4AC1-9890-92990F965841}"/>
  <tableColumns count="3">
    <tableColumn id="1" xr3:uid="{85CFF6D3-E2C1-43DA-992F-8914EE354F75}" name="Location" dataDxfId="2"/>
    <tableColumn id="2" xr3:uid="{937F01B1-C096-46A3-B4BD-A299B2CC3B70}" name="Date of Service" dataDxfId="1"/>
    <tableColumn id="3" xr3:uid="{83B12B8B-0A8C-4D5C-ABF8-9F81A56E4B4D}" name="iStats Volumes  (PM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C93D-350E-42CA-A480-BEE0AB3D14AA}">
  <dimension ref="B1:B11"/>
  <sheetViews>
    <sheetView topLeftCell="A2" workbookViewId="0">
      <selection activeCell="D13" sqref="D13"/>
    </sheetView>
  </sheetViews>
  <sheetFormatPr defaultRowHeight="14.45"/>
  <cols>
    <col min="1" max="1" width="1.7109375" customWidth="1"/>
    <col min="2" max="2" width="36.5703125" bestFit="1" customWidth="1"/>
  </cols>
  <sheetData>
    <row r="1" spans="2:2" ht="17.45">
      <c r="B1" s="7" t="s">
        <v>0</v>
      </c>
    </row>
    <row r="2" spans="2:2">
      <c r="B2" t="s">
        <v>1</v>
      </c>
    </row>
    <row r="4" spans="2:2">
      <c r="B4" s="6" t="s">
        <v>2</v>
      </c>
    </row>
    <row r="6" spans="2:2">
      <c r="B6" t="s">
        <v>3</v>
      </c>
    </row>
    <row r="7" spans="2:2" ht="15">
      <c r="B7" t="s">
        <v>4</v>
      </c>
    </row>
    <row r="8" spans="2:2" ht="15">
      <c r="B8" s="13" t="s">
        <v>5</v>
      </c>
    </row>
    <row r="9" spans="2:2" ht="15">
      <c r="B9" s="13" t="s">
        <v>6</v>
      </c>
    </row>
    <row r="10" spans="2:2" ht="15">
      <c r="B10" s="13" t="s">
        <v>7</v>
      </c>
    </row>
    <row r="11" spans="2:2">
      <c r="B1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2CCB8-C512-44A9-9166-5C2223DAB2F9}">
  <dimension ref="A1:T39"/>
  <sheetViews>
    <sheetView tabSelected="1" workbookViewId="0">
      <pane ySplit="1" topLeftCell="E21" activePane="bottomLeft" state="frozen"/>
      <selection pane="bottomLeft" activeCell="P40" sqref="P40"/>
    </sheetView>
  </sheetViews>
  <sheetFormatPr defaultRowHeight="15" customHeight="1"/>
  <cols>
    <col min="1" max="1" width="22" bestFit="1" customWidth="1"/>
    <col min="2" max="2" width="30.140625" bestFit="1" customWidth="1"/>
    <col min="3" max="3" width="24.140625" bestFit="1" customWidth="1"/>
    <col min="4" max="4" width="12.7109375" bestFit="1" customWidth="1"/>
    <col min="5" max="5" width="12.140625" style="18" bestFit="1" customWidth="1"/>
    <col min="6" max="6" width="25.7109375" bestFit="1" customWidth="1"/>
    <col min="7" max="8" width="12.140625" bestFit="1" customWidth="1"/>
    <col min="9" max="9" width="11.42578125" bestFit="1" customWidth="1"/>
    <col min="10" max="10" width="11.42578125" style="16" bestFit="1" customWidth="1"/>
    <col min="11" max="12" width="13" style="16" customWidth="1"/>
    <col min="13" max="14" width="10.5703125" bestFit="1" customWidth="1"/>
    <col min="15" max="15" width="10.140625" bestFit="1" customWidth="1"/>
    <col min="16" max="16" width="43" customWidth="1"/>
    <col min="17" max="17" width="10.42578125" bestFit="1" customWidth="1"/>
    <col min="18" max="18" width="10.5703125" bestFit="1" customWidth="1"/>
    <col min="19" max="19" width="14.28515625" bestFit="1" customWidth="1"/>
  </cols>
  <sheetData>
    <row r="1" spans="1:20" ht="72.75">
      <c r="A1" s="19" t="s">
        <v>9</v>
      </c>
      <c r="B1" s="3" t="s">
        <v>10</v>
      </c>
      <c r="C1" s="3" t="s">
        <v>11</v>
      </c>
      <c r="D1" s="3" t="s">
        <v>12</v>
      </c>
      <c r="E1" s="17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14" t="s">
        <v>18</v>
      </c>
      <c r="K1" s="14" t="s">
        <v>19</v>
      </c>
      <c r="L1" s="14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10" t="s">
        <v>25</v>
      </c>
      <c r="R1" s="10" t="s">
        <v>26</v>
      </c>
      <c r="S1" s="10" t="s">
        <v>27</v>
      </c>
      <c r="T1" t="s">
        <v>28</v>
      </c>
    </row>
    <row r="2" spans="1:20">
      <c r="A2" s="20" t="s">
        <v>29</v>
      </c>
      <c r="B2" s="1" t="s">
        <v>30</v>
      </c>
      <c r="C2" s="1" t="s">
        <v>31</v>
      </c>
      <c r="D2" s="1" t="s">
        <v>32</v>
      </c>
      <c r="E2" s="2">
        <v>46027</v>
      </c>
      <c r="F2" s="1" t="s">
        <v>33</v>
      </c>
      <c r="G2" s="5">
        <v>46029</v>
      </c>
      <c r="H2" s="5">
        <v>46031</v>
      </c>
      <c r="I2" s="5">
        <v>46034</v>
      </c>
      <c r="J2" s="15">
        <f>NETWORKDAYS(E2,G2)</f>
        <v>3</v>
      </c>
      <c r="K2" s="15">
        <f t="shared" ref="K2:K39" si="0">NETWORKDAYS(G2, H2)</f>
        <v>3</v>
      </c>
      <c r="L2" s="15">
        <f t="shared" ref="L2:L39" si="1">IF(OR(H2="", I2="", I2&lt;H2), "", NETWORKDAYS(H2, I2))</f>
        <v>2</v>
      </c>
      <c r="M2" s="4">
        <v>14</v>
      </c>
      <c r="N2" s="4">
        <v>14</v>
      </c>
      <c r="O2" s="1" cm="1">
        <f t="array" ref="O2">_xlfn.XLOOKUP(1,
 ('Stats Query'!C:C = E2) * ('Stats Query'!B:B = F2),
 'Stats Query'!D:D,
 "")</f>
        <v>12</v>
      </c>
      <c r="P2" s="1"/>
      <c r="Q2">
        <f>M2-N2</f>
        <v>0</v>
      </c>
      <c r="R2">
        <f>M2-O2</f>
        <v>2</v>
      </c>
      <c r="S2">
        <f>N2-O2</f>
        <v>2</v>
      </c>
      <c r="T2" t="str">
        <f t="shared" ref="T2:T39" si="2">IF(OR(M2&lt;&gt;N2, M2&lt;&gt;O2, N2&lt;&gt;O2), "Variance", "OK")</f>
        <v>Variance</v>
      </c>
    </row>
    <row r="3" spans="1:20">
      <c r="A3" s="20" t="s">
        <v>34</v>
      </c>
      <c r="B3" s="1" t="s">
        <v>35</v>
      </c>
      <c r="C3" s="1" t="s">
        <v>36</v>
      </c>
      <c r="D3" s="1" t="s">
        <v>32</v>
      </c>
      <c r="E3" s="2">
        <v>46027</v>
      </c>
      <c r="F3" s="1" t="s">
        <v>37</v>
      </c>
      <c r="G3" s="5">
        <v>46031</v>
      </c>
      <c r="H3" s="5">
        <v>46035</v>
      </c>
      <c r="I3" s="5">
        <v>46036</v>
      </c>
      <c r="J3" s="15">
        <f t="shared" ref="J3:J39" si="3">NETWORKDAYS(E3,G3)</f>
        <v>5</v>
      </c>
      <c r="K3" s="15">
        <f t="shared" si="0"/>
        <v>3</v>
      </c>
      <c r="L3" s="15">
        <f t="shared" si="1"/>
        <v>2</v>
      </c>
      <c r="M3" s="4">
        <v>17</v>
      </c>
      <c r="N3" s="4">
        <v>16</v>
      </c>
      <c r="O3" s="1" cm="1">
        <f t="array" ref="O3">_xlfn.XLOOKUP(1,
 ('Stats Query'!C:C = E3) * ('Stats Query'!B:B = F3),
 'Stats Query'!D:D,
 "")</f>
        <v>17</v>
      </c>
      <c r="P3" s="1"/>
      <c r="Q3">
        <f>M3-N3</f>
        <v>1</v>
      </c>
      <c r="R3">
        <f>M3-O3</f>
        <v>0</v>
      </c>
      <c r="S3">
        <f t="shared" ref="S3:S39" si="4">N3-O3</f>
        <v>-1</v>
      </c>
      <c r="T3" t="str">
        <f t="shared" si="2"/>
        <v>Variance</v>
      </c>
    </row>
    <row r="4" spans="1:20">
      <c r="A4" s="20" t="s">
        <v>38</v>
      </c>
      <c r="B4" s="1" t="s">
        <v>39</v>
      </c>
      <c r="C4" s="1" t="s">
        <v>40</v>
      </c>
      <c r="D4" s="1" t="s">
        <v>32</v>
      </c>
      <c r="E4" s="2">
        <v>46027</v>
      </c>
      <c r="F4" s="1" t="s">
        <v>41</v>
      </c>
      <c r="G4" s="5">
        <v>46028</v>
      </c>
      <c r="H4" s="5">
        <v>46028</v>
      </c>
      <c r="I4" s="5">
        <v>46050</v>
      </c>
      <c r="J4" s="15">
        <f t="shared" si="3"/>
        <v>2</v>
      </c>
      <c r="K4" s="15">
        <f t="shared" si="0"/>
        <v>1</v>
      </c>
      <c r="L4" s="15">
        <f t="shared" si="1"/>
        <v>17</v>
      </c>
      <c r="M4" s="4">
        <v>21</v>
      </c>
      <c r="N4" s="4">
        <v>21</v>
      </c>
      <c r="O4" s="1" cm="1">
        <f t="array" ref="O4">_xlfn.XLOOKUP(1,
 ('Stats Query'!C:C = E4) * ('Stats Query'!B:B = F4),
 'Stats Query'!D:D,
 "")</f>
        <v>21</v>
      </c>
      <c r="P4" s="1"/>
      <c r="Q4">
        <f>M4-N4</f>
        <v>0</v>
      </c>
      <c r="R4">
        <f>M4-O4</f>
        <v>0</v>
      </c>
      <c r="S4">
        <f t="shared" si="4"/>
        <v>0</v>
      </c>
      <c r="T4" t="str">
        <f t="shared" si="2"/>
        <v>OK</v>
      </c>
    </row>
    <row r="5" spans="1:20">
      <c r="A5" s="20" t="s">
        <v>42</v>
      </c>
      <c r="B5" s="1" t="s">
        <v>43</v>
      </c>
      <c r="C5" s="1" t="s">
        <v>44</v>
      </c>
      <c r="D5" s="1" t="s">
        <v>32</v>
      </c>
      <c r="E5" s="2">
        <v>46028</v>
      </c>
      <c r="F5" s="1" t="s">
        <v>45</v>
      </c>
      <c r="G5" s="5">
        <v>46029</v>
      </c>
      <c r="H5" s="5">
        <v>46031</v>
      </c>
      <c r="I5" s="5">
        <v>46034</v>
      </c>
      <c r="J5" s="15">
        <f t="shared" si="3"/>
        <v>2</v>
      </c>
      <c r="K5" s="15">
        <f t="shared" si="0"/>
        <v>3</v>
      </c>
      <c r="L5" s="15">
        <f t="shared" si="1"/>
        <v>2</v>
      </c>
      <c r="M5" s="4">
        <v>19</v>
      </c>
      <c r="N5" s="4">
        <v>19</v>
      </c>
      <c r="O5" s="1" cm="1">
        <f t="array" ref="O5">_xlfn.XLOOKUP(1,
 ('Stats Query'!C:C = E5) * ('Stats Query'!B:B = F5),
 'Stats Query'!D:D,
 "")</f>
        <v>19</v>
      </c>
      <c r="P5" s="1"/>
      <c r="Q5">
        <f>M5-N5</f>
        <v>0</v>
      </c>
      <c r="R5">
        <f>M5-O5</f>
        <v>0</v>
      </c>
      <c r="S5">
        <f t="shared" si="4"/>
        <v>0</v>
      </c>
      <c r="T5" t="str">
        <f t="shared" si="2"/>
        <v>OK</v>
      </c>
    </row>
    <row r="6" spans="1:20">
      <c r="A6" s="20" t="s">
        <v>46</v>
      </c>
      <c r="B6" s="1" t="s">
        <v>47</v>
      </c>
      <c r="C6" s="1" t="s">
        <v>48</v>
      </c>
      <c r="D6" s="1" t="s">
        <v>32</v>
      </c>
      <c r="E6" s="2">
        <v>46028</v>
      </c>
      <c r="F6" s="1" t="s">
        <v>49</v>
      </c>
      <c r="G6" s="5">
        <v>46029</v>
      </c>
      <c r="H6" s="5">
        <v>46031</v>
      </c>
      <c r="I6" s="5">
        <v>46034</v>
      </c>
      <c r="J6" s="15">
        <f t="shared" si="3"/>
        <v>2</v>
      </c>
      <c r="K6" s="15">
        <f t="shared" si="0"/>
        <v>3</v>
      </c>
      <c r="L6" s="15">
        <f t="shared" si="1"/>
        <v>2</v>
      </c>
      <c r="M6" s="4">
        <v>14</v>
      </c>
      <c r="N6" s="4">
        <v>14</v>
      </c>
      <c r="O6" s="1" cm="1">
        <f t="array" ref="O6">_xlfn.XLOOKUP(1,
 ('Stats Query'!C:C = E6) * ('Stats Query'!B:B = F6),
 'Stats Query'!D:D,
 "")</f>
        <v>14</v>
      </c>
      <c r="P6" s="1"/>
      <c r="Q6">
        <f>M6-N6</f>
        <v>0</v>
      </c>
      <c r="R6">
        <f>M6-O6</f>
        <v>0</v>
      </c>
      <c r="S6">
        <f t="shared" si="4"/>
        <v>0</v>
      </c>
      <c r="T6" t="str">
        <f t="shared" si="2"/>
        <v>OK</v>
      </c>
    </row>
    <row r="7" spans="1:20">
      <c r="A7" s="20" t="s">
        <v>34</v>
      </c>
      <c r="B7" s="1" t="s">
        <v>50</v>
      </c>
      <c r="C7" s="1" t="s">
        <v>36</v>
      </c>
      <c r="D7" s="1" t="s">
        <v>51</v>
      </c>
      <c r="E7" s="2">
        <v>46028</v>
      </c>
      <c r="F7" s="1" t="s">
        <v>37</v>
      </c>
      <c r="G7" s="32">
        <v>46031</v>
      </c>
      <c r="H7" s="32">
        <v>46035</v>
      </c>
      <c r="I7" s="5">
        <v>46036</v>
      </c>
      <c r="J7" s="15">
        <f t="shared" si="3"/>
        <v>4</v>
      </c>
      <c r="K7" s="15">
        <f t="shared" si="0"/>
        <v>3</v>
      </c>
      <c r="L7" s="15">
        <f t="shared" si="1"/>
        <v>2</v>
      </c>
      <c r="M7" s="4">
        <v>25</v>
      </c>
      <c r="N7" s="4">
        <v>25</v>
      </c>
      <c r="O7" s="1" cm="1">
        <f t="array" ref="O7">_xlfn.XLOOKUP(1,
 ('Stats Query'!C:C = E7) * ('Stats Query'!B:B = F7),
 'Stats Query'!D:D,
 "")</f>
        <v>25</v>
      </c>
      <c r="P7" s="3" t="s">
        <v>52</v>
      </c>
      <c r="Q7">
        <f>M7-N7</f>
        <v>0</v>
      </c>
      <c r="R7">
        <f>M7-O7</f>
        <v>0</v>
      </c>
      <c r="S7">
        <f t="shared" si="4"/>
        <v>0</v>
      </c>
      <c r="T7" t="str">
        <f t="shared" si="2"/>
        <v>OK</v>
      </c>
    </row>
    <row r="8" spans="1:20">
      <c r="A8" s="20" t="s">
        <v>29</v>
      </c>
      <c r="B8" s="1" t="s">
        <v>53</v>
      </c>
      <c r="C8" s="1" t="s">
        <v>31</v>
      </c>
      <c r="D8" s="1" t="s">
        <v>32</v>
      </c>
      <c r="E8" s="2">
        <v>46028</v>
      </c>
      <c r="F8" s="1" t="s">
        <v>54</v>
      </c>
      <c r="G8" s="5">
        <v>46031</v>
      </c>
      <c r="H8" s="5">
        <v>46035</v>
      </c>
      <c r="I8" s="5">
        <v>46037</v>
      </c>
      <c r="J8" s="15">
        <f t="shared" si="3"/>
        <v>4</v>
      </c>
      <c r="K8" s="15">
        <f t="shared" si="0"/>
        <v>3</v>
      </c>
      <c r="L8" s="15">
        <f t="shared" si="1"/>
        <v>3</v>
      </c>
      <c r="M8" s="4">
        <v>25</v>
      </c>
      <c r="N8" s="4">
        <v>25</v>
      </c>
      <c r="O8" s="1" cm="1">
        <f t="array" ref="O8">_xlfn.XLOOKUP(1,
 ('Stats Query'!C:C = E8) * ('Stats Query'!B:B = F8),
 'Stats Query'!D:D,
 "")</f>
        <v>25</v>
      </c>
      <c r="P8" s="1"/>
      <c r="Q8">
        <f>M8-N8</f>
        <v>0</v>
      </c>
      <c r="R8">
        <f>M8-O8</f>
        <v>0</v>
      </c>
      <c r="S8">
        <f t="shared" si="4"/>
        <v>0</v>
      </c>
      <c r="T8" t="str">
        <f t="shared" si="2"/>
        <v>OK</v>
      </c>
    </row>
    <row r="9" spans="1:20">
      <c r="A9" s="20" t="s">
        <v>38</v>
      </c>
      <c r="B9" s="1" t="s">
        <v>55</v>
      </c>
      <c r="C9" s="1" t="s">
        <v>40</v>
      </c>
      <c r="D9" s="1" t="s">
        <v>32</v>
      </c>
      <c r="E9" s="2">
        <v>46028</v>
      </c>
      <c r="F9" s="1" t="s">
        <v>41</v>
      </c>
      <c r="G9" s="5">
        <v>46031</v>
      </c>
      <c r="H9" s="5">
        <v>46035</v>
      </c>
      <c r="I9" s="5">
        <v>46041</v>
      </c>
      <c r="J9" s="15">
        <f t="shared" si="3"/>
        <v>4</v>
      </c>
      <c r="K9" s="15">
        <f t="shared" si="0"/>
        <v>3</v>
      </c>
      <c r="L9" s="15">
        <f t="shared" si="1"/>
        <v>5</v>
      </c>
      <c r="M9" s="4">
        <v>23</v>
      </c>
      <c r="N9" s="4">
        <v>23</v>
      </c>
      <c r="O9" s="1" cm="1">
        <f t="array" ref="O9">_xlfn.XLOOKUP(1,
 ('Stats Query'!C:C = E9) * ('Stats Query'!B:B = F9),
 'Stats Query'!D:D,
 "")</f>
        <v>23</v>
      </c>
      <c r="P9" s="1"/>
      <c r="Q9">
        <f>M9-N9</f>
        <v>0</v>
      </c>
      <c r="R9">
        <f>M9-O9</f>
        <v>0</v>
      </c>
      <c r="S9">
        <f t="shared" si="4"/>
        <v>0</v>
      </c>
      <c r="T9" t="str">
        <f t="shared" si="2"/>
        <v>OK</v>
      </c>
    </row>
    <row r="10" spans="1:20">
      <c r="A10" s="20" t="s">
        <v>56</v>
      </c>
      <c r="B10" s="1" t="s">
        <v>57</v>
      </c>
      <c r="C10" s="1" t="s">
        <v>56</v>
      </c>
      <c r="D10" s="1" t="s">
        <v>32</v>
      </c>
      <c r="E10" s="2">
        <v>46029</v>
      </c>
      <c r="F10" s="1" t="s">
        <v>49</v>
      </c>
      <c r="G10" s="5">
        <v>46030</v>
      </c>
      <c r="H10" s="5">
        <v>46031</v>
      </c>
      <c r="I10" s="5">
        <v>46034</v>
      </c>
      <c r="J10" s="15">
        <f t="shared" si="3"/>
        <v>2</v>
      </c>
      <c r="K10" s="15">
        <f t="shared" si="0"/>
        <v>2</v>
      </c>
      <c r="L10" s="15">
        <f t="shared" si="1"/>
        <v>2</v>
      </c>
      <c r="M10" s="4">
        <v>2</v>
      </c>
      <c r="N10" s="4">
        <v>2</v>
      </c>
      <c r="O10" s="1" cm="1">
        <f t="array" ref="O10">_xlfn.XLOOKUP(1,
 ('Stats Query'!C:C = E10) * ('Stats Query'!B:B = F10),
 'Stats Query'!D:D,
 "")</f>
        <v>2</v>
      </c>
      <c r="P10" s="1"/>
      <c r="Q10">
        <f>M10-N10</f>
        <v>0</v>
      </c>
      <c r="R10">
        <f>M10-O10</f>
        <v>0</v>
      </c>
      <c r="S10">
        <f t="shared" si="4"/>
        <v>0</v>
      </c>
      <c r="T10" t="str">
        <f t="shared" si="2"/>
        <v>OK</v>
      </c>
    </row>
    <row r="11" spans="1:20" s="47" customFormat="1">
      <c r="A11" s="41" t="s">
        <v>46</v>
      </c>
      <c r="B11" s="42" t="s">
        <v>58</v>
      </c>
      <c r="C11" s="42" t="s">
        <v>48</v>
      </c>
      <c r="D11" s="42" t="s">
        <v>32</v>
      </c>
      <c r="E11" s="43">
        <v>46029</v>
      </c>
      <c r="F11" s="42" t="s">
        <v>49</v>
      </c>
      <c r="G11" s="44">
        <v>46030</v>
      </c>
      <c r="H11" s="44">
        <v>46031</v>
      </c>
      <c r="I11" s="44">
        <v>46034</v>
      </c>
      <c r="J11" s="45">
        <f t="shared" si="3"/>
        <v>2</v>
      </c>
      <c r="K11" s="45">
        <f t="shared" si="0"/>
        <v>2</v>
      </c>
      <c r="L11" s="45">
        <f t="shared" si="1"/>
        <v>2</v>
      </c>
      <c r="M11" s="46">
        <v>19</v>
      </c>
      <c r="N11" s="46">
        <v>17</v>
      </c>
      <c r="O11" s="42" cm="1">
        <f t="array" ref="O11">_xlfn.XLOOKUP(1,
 ('Stats Query'!C:C = E11) * ('Stats Query'!B:B = F11),
 'Stats Query'!D:D,
 "")</f>
        <v>2</v>
      </c>
      <c r="P11" s="42" t="s">
        <v>59</v>
      </c>
      <c r="Q11" s="47">
        <f>M11-N11</f>
        <v>2</v>
      </c>
      <c r="R11" s="47">
        <f>M11-O11</f>
        <v>17</v>
      </c>
      <c r="S11" s="47">
        <f t="shared" si="4"/>
        <v>15</v>
      </c>
      <c r="T11" s="47" t="str">
        <f t="shared" si="2"/>
        <v>Variance</v>
      </c>
    </row>
    <row r="12" spans="1:20">
      <c r="A12" s="20" t="s">
        <v>29</v>
      </c>
      <c r="B12" s="1" t="s">
        <v>60</v>
      </c>
      <c r="C12" s="1" t="s">
        <v>31</v>
      </c>
      <c r="D12" s="1" t="s">
        <v>32</v>
      </c>
      <c r="E12" s="2">
        <v>46029</v>
      </c>
      <c r="F12" s="1" t="s">
        <v>54</v>
      </c>
      <c r="G12" s="5">
        <v>46031</v>
      </c>
      <c r="H12" s="5">
        <v>46035</v>
      </c>
      <c r="I12" s="5">
        <v>46036</v>
      </c>
      <c r="J12" s="15">
        <f t="shared" si="3"/>
        <v>3</v>
      </c>
      <c r="K12" s="15">
        <f t="shared" si="0"/>
        <v>3</v>
      </c>
      <c r="L12" s="15">
        <f t="shared" si="1"/>
        <v>2</v>
      </c>
      <c r="M12" s="4">
        <v>23</v>
      </c>
      <c r="N12" s="4">
        <v>23</v>
      </c>
      <c r="O12" s="1" cm="1">
        <f t="array" ref="O12">_xlfn.XLOOKUP(1,
 ('Stats Query'!C:C = E12) * ('Stats Query'!B:B = F12),
 'Stats Query'!D:D,
 "")</f>
        <v>23</v>
      </c>
      <c r="P12" s="1"/>
      <c r="Q12">
        <f>M12-N12</f>
        <v>0</v>
      </c>
      <c r="R12">
        <f>M12-O12</f>
        <v>0</v>
      </c>
      <c r="S12">
        <f t="shared" si="4"/>
        <v>0</v>
      </c>
      <c r="T12" t="str">
        <f t="shared" si="2"/>
        <v>OK</v>
      </c>
    </row>
    <row r="13" spans="1:20">
      <c r="A13" s="20" t="s">
        <v>61</v>
      </c>
      <c r="B13" s="1" t="s">
        <v>62</v>
      </c>
      <c r="C13" s="1" t="s">
        <v>63</v>
      </c>
      <c r="D13" s="1" t="s">
        <v>32</v>
      </c>
      <c r="E13" s="2">
        <v>46029</v>
      </c>
      <c r="F13" s="1" t="s">
        <v>64</v>
      </c>
      <c r="G13" s="5">
        <v>46031</v>
      </c>
      <c r="H13" s="5">
        <v>46035</v>
      </c>
      <c r="I13" s="5">
        <v>46037</v>
      </c>
      <c r="J13" s="15">
        <f t="shared" si="3"/>
        <v>3</v>
      </c>
      <c r="K13" s="15">
        <f t="shared" si="0"/>
        <v>3</v>
      </c>
      <c r="L13" s="15">
        <f t="shared" si="1"/>
        <v>3</v>
      </c>
      <c r="M13" s="4">
        <v>19</v>
      </c>
      <c r="N13" s="4">
        <v>19</v>
      </c>
      <c r="O13" s="1" cm="1">
        <f t="array" ref="O13">_xlfn.XLOOKUP(1,
 ('Stats Query'!C:C = E13) * ('Stats Query'!B:B = F13),
 'Stats Query'!D:D,
 "")</f>
        <v>19</v>
      </c>
      <c r="P13" s="1"/>
      <c r="Q13">
        <f>M13-N13</f>
        <v>0</v>
      </c>
      <c r="R13">
        <f>M13-O13</f>
        <v>0</v>
      </c>
      <c r="S13">
        <f t="shared" si="4"/>
        <v>0</v>
      </c>
      <c r="T13" t="str">
        <f t="shared" si="2"/>
        <v>OK</v>
      </c>
    </row>
    <row r="14" spans="1:20">
      <c r="A14" s="20" t="s">
        <v>34</v>
      </c>
      <c r="B14" s="1" t="s">
        <v>65</v>
      </c>
      <c r="C14" s="1" t="s">
        <v>36</v>
      </c>
      <c r="D14" s="1" t="s">
        <v>32</v>
      </c>
      <c r="E14" s="2">
        <v>46029</v>
      </c>
      <c r="F14" s="1" t="s">
        <v>37</v>
      </c>
      <c r="G14" s="5">
        <v>46034</v>
      </c>
      <c r="H14" s="5">
        <v>46035</v>
      </c>
      <c r="I14" s="5">
        <v>46037</v>
      </c>
      <c r="J14" s="15">
        <f t="shared" si="3"/>
        <v>4</v>
      </c>
      <c r="K14" s="15">
        <f t="shared" si="0"/>
        <v>2</v>
      </c>
      <c r="L14" s="15">
        <f t="shared" si="1"/>
        <v>3</v>
      </c>
      <c r="M14" s="4">
        <v>22</v>
      </c>
      <c r="N14" s="4">
        <v>22</v>
      </c>
      <c r="O14" s="1" cm="1">
        <f t="array" ref="O14">_xlfn.XLOOKUP(1,
 ('Stats Query'!C:C = E14) * ('Stats Query'!B:B = F14),
 'Stats Query'!D:D,
 "")</f>
        <v>22</v>
      </c>
      <c r="P14" s="1"/>
      <c r="Q14">
        <f>M14-N14</f>
        <v>0</v>
      </c>
      <c r="R14">
        <f>M14-O14</f>
        <v>0</v>
      </c>
      <c r="S14">
        <f t="shared" si="4"/>
        <v>0</v>
      </c>
      <c r="T14" t="str">
        <f t="shared" si="2"/>
        <v>OK</v>
      </c>
    </row>
    <row r="15" spans="1:20">
      <c r="A15" s="20" t="s">
        <v>38</v>
      </c>
      <c r="B15" s="1" t="s">
        <v>66</v>
      </c>
      <c r="C15" s="1" t="s">
        <v>40</v>
      </c>
      <c r="D15" s="1" t="s">
        <v>32</v>
      </c>
      <c r="E15" s="2">
        <v>46029</v>
      </c>
      <c r="F15" s="1" t="s">
        <v>41</v>
      </c>
      <c r="G15" s="5">
        <v>46031</v>
      </c>
      <c r="H15" s="5">
        <v>46035</v>
      </c>
      <c r="I15" s="5">
        <v>46041</v>
      </c>
      <c r="J15" s="15">
        <f t="shared" si="3"/>
        <v>3</v>
      </c>
      <c r="K15" s="15">
        <f t="shared" si="0"/>
        <v>3</v>
      </c>
      <c r="L15" s="15">
        <f t="shared" si="1"/>
        <v>5</v>
      </c>
      <c r="M15" s="4">
        <v>20</v>
      </c>
      <c r="N15" s="4">
        <v>20</v>
      </c>
      <c r="O15" s="1" cm="1">
        <f t="array" ref="O15">_xlfn.XLOOKUP(1,
 ('Stats Query'!C:C = E15) * ('Stats Query'!B:B = F15),
 'Stats Query'!D:D,
 "")</f>
        <v>20</v>
      </c>
      <c r="P15" s="1"/>
      <c r="Q15">
        <f>M15-N15</f>
        <v>0</v>
      </c>
      <c r="R15">
        <f>M15-O15</f>
        <v>0</v>
      </c>
      <c r="S15">
        <f t="shared" si="4"/>
        <v>0</v>
      </c>
      <c r="T15" t="str">
        <f t="shared" si="2"/>
        <v>OK</v>
      </c>
    </row>
    <row r="16" spans="1:20">
      <c r="A16" s="20" t="s">
        <v>67</v>
      </c>
      <c r="B16" s="1" t="s">
        <v>68</v>
      </c>
      <c r="C16" s="1" t="s">
        <v>69</v>
      </c>
      <c r="D16" s="1" t="s">
        <v>32</v>
      </c>
      <c r="E16" s="2">
        <v>46029</v>
      </c>
      <c r="F16" s="1" t="s">
        <v>70</v>
      </c>
      <c r="G16" s="5">
        <v>46031</v>
      </c>
      <c r="H16" s="5">
        <v>46035</v>
      </c>
      <c r="I16" s="5">
        <v>46042</v>
      </c>
      <c r="J16" s="15">
        <f t="shared" si="3"/>
        <v>3</v>
      </c>
      <c r="K16" s="15">
        <f t="shared" si="0"/>
        <v>3</v>
      </c>
      <c r="L16" s="15">
        <f t="shared" si="1"/>
        <v>6</v>
      </c>
      <c r="M16" s="4">
        <v>10</v>
      </c>
      <c r="N16" s="4">
        <v>10</v>
      </c>
      <c r="O16" s="1" cm="1">
        <f t="array" ref="O16">_xlfn.XLOOKUP(1,
 ('Stats Query'!C:C = E16) * ('Stats Query'!B:B = F16),
 'Stats Query'!D:D,
 "")</f>
        <v>10</v>
      </c>
      <c r="P16" s="1"/>
      <c r="Q16">
        <f>M16-N16</f>
        <v>0</v>
      </c>
      <c r="R16">
        <f>M16-O16</f>
        <v>0</v>
      </c>
      <c r="S16">
        <f t="shared" si="4"/>
        <v>0</v>
      </c>
      <c r="T16" t="str">
        <f t="shared" si="2"/>
        <v>OK</v>
      </c>
    </row>
    <row r="17" spans="1:20">
      <c r="A17" s="20" t="s">
        <v>38</v>
      </c>
      <c r="B17" s="1" t="s">
        <v>71</v>
      </c>
      <c r="C17" s="1" t="s">
        <v>40</v>
      </c>
      <c r="D17" s="1" t="s">
        <v>32</v>
      </c>
      <c r="E17" s="2">
        <v>46030</v>
      </c>
      <c r="F17" s="1" t="s">
        <v>45</v>
      </c>
      <c r="G17" s="5">
        <v>46030</v>
      </c>
      <c r="H17" s="5">
        <v>46031</v>
      </c>
      <c r="I17" s="5">
        <v>46034</v>
      </c>
      <c r="J17" s="15">
        <f t="shared" si="3"/>
        <v>1</v>
      </c>
      <c r="K17" s="15">
        <f t="shared" si="0"/>
        <v>2</v>
      </c>
      <c r="L17" s="15">
        <f t="shared" si="1"/>
        <v>2</v>
      </c>
      <c r="M17" s="4">
        <v>20</v>
      </c>
      <c r="N17" s="4">
        <v>20</v>
      </c>
      <c r="O17" s="1" cm="1">
        <f t="array" ref="O17">_xlfn.XLOOKUP(1,
 ('Stats Query'!C:C = E17) * ('Stats Query'!B:B = F17),
 'Stats Query'!D:D,
 "")</f>
        <v>20</v>
      </c>
      <c r="P17" s="1"/>
      <c r="Q17">
        <f>M17-N17</f>
        <v>0</v>
      </c>
      <c r="R17">
        <f>M17-O17</f>
        <v>0</v>
      </c>
      <c r="S17">
        <f t="shared" si="4"/>
        <v>0</v>
      </c>
      <c r="T17" t="str">
        <f t="shared" si="2"/>
        <v>OK</v>
      </c>
    </row>
    <row r="18" spans="1:20">
      <c r="A18" s="20" t="s">
        <v>42</v>
      </c>
      <c r="B18" s="1" t="s">
        <v>72</v>
      </c>
      <c r="C18" s="1" t="s">
        <v>44</v>
      </c>
      <c r="D18" s="1" t="s">
        <v>32</v>
      </c>
      <c r="E18" s="2">
        <v>46030</v>
      </c>
      <c r="F18" s="1" t="s">
        <v>41</v>
      </c>
      <c r="G18" s="5">
        <v>46030</v>
      </c>
      <c r="H18" s="5">
        <v>46031</v>
      </c>
      <c r="I18" s="5">
        <v>46034</v>
      </c>
      <c r="J18" s="15">
        <f t="shared" si="3"/>
        <v>1</v>
      </c>
      <c r="K18" s="15">
        <f t="shared" si="0"/>
        <v>2</v>
      </c>
      <c r="L18" s="15">
        <f t="shared" si="1"/>
        <v>2</v>
      </c>
      <c r="M18" s="4">
        <v>21</v>
      </c>
      <c r="N18" s="4">
        <v>21</v>
      </c>
      <c r="O18" s="1" cm="1">
        <f t="array" ref="O18">_xlfn.XLOOKUP(1,
 ('Stats Query'!C:C = E18) * ('Stats Query'!B:B = F18),
 'Stats Query'!D:D,
 "")</f>
        <v>21</v>
      </c>
      <c r="P18" s="1"/>
      <c r="Q18">
        <f>M18-N18</f>
        <v>0</v>
      </c>
      <c r="R18">
        <f>M18-O18</f>
        <v>0</v>
      </c>
      <c r="S18">
        <f t="shared" si="4"/>
        <v>0</v>
      </c>
      <c r="T18" t="str">
        <f t="shared" si="2"/>
        <v>OK</v>
      </c>
    </row>
    <row r="19" spans="1:20">
      <c r="A19" s="20" t="s">
        <v>56</v>
      </c>
      <c r="B19" s="1" t="s">
        <v>73</v>
      </c>
      <c r="C19" s="1" t="s">
        <v>56</v>
      </c>
      <c r="D19" s="1" t="s">
        <v>32</v>
      </c>
      <c r="E19" s="2">
        <v>46030</v>
      </c>
      <c r="F19" s="1" t="s">
        <v>49</v>
      </c>
      <c r="G19" s="5">
        <v>46030</v>
      </c>
      <c r="H19" s="5">
        <v>46031</v>
      </c>
      <c r="I19" s="5">
        <v>46034</v>
      </c>
      <c r="J19" s="15">
        <f t="shared" si="3"/>
        <v>1</v>
      </c>
      <c r="K19" s="15">
        <f t="shared" si="0"/>
        <v>2</v>
      </c>
      <c r="L19" s="15">
        <f t="shared" si="1"/>
        <v>2</v>
      </c>
      <c r="M19" s="4">
        <v>3</v>
      </c>
      <c r="N19" s="4">
        <v>3</v>
      </c>
      <c r="O19" s="1" cm="1">
        <f t="array" ref="O19">_xlfn.XLOOKUP(1,
 ('Stats Query'!C:C = E19) * ('Stats Query'!B:B = F19),
 'Stats Query'!D:D,
 "")</f>
        <v>3</v>
      </c>
      <c r="P19" s="1"/>
      <c r="Q19">
        <f>M19-N19</f>
        <v>0</v>
      </c>
      <c r="R19">
        <f>M19-O19</f>
        <v>0</v>
      </c>
      <c r="S19">
        <f t="shared" si="4"/>
        <v>0</v>
      </c>
      <c r="T19" t="str">
        <f t="shared" si="2"/>
        <v>OK</v>
      </c>
    </row>
    <row r="20" spans="1:20">
      <c r="A20" s="20" t="s">
        <v>34</v>
      </c>
      <c r="B20" s="9" t="s">
        <v>74</v>
      </c>
      <c r="C20" s="1" t="s">
        <v>36</v>
      </c>
      <c r="D20" s="1" t="s">
        <v>51</v>
      </c>
      <c r="E20" s="2">
        <v>46030</v>
      </c>
      <c r="F20" s="1" t="s">
        <v>37</v>
      </c>
      <c r="G20" s="5">
        <v>46034</v>
      </c>
      <c r="H20" s="5">
        <v>46035</v>
      </c>
      <c r="I20" s="5">
        <v>46037</v>
      </c>
      <c r="J20" s="15">
        <f t="shared" si="3"/>
        <v>3</v>
      </c>
      <c r="K20" s="15">
        <f t="shared" si="0"/>
        <v>2</v>
      </c>
      <c r="L20" s="15">
        <f t="shared" si="1"/>
        <v>3</v>
      </c>
      <c r="M20" s="4">
        <v>25</v>
      </c>
      <c r="N20" s="4">
        <v>25</v>
      </c>
      <c r="O20" s="1" cm="1">
        <f t="array" ref="O20">_xlfn.XLOOKUP(1,
 ('Stats Query'!C:C = E20) * ('Stats Query'!B:B = F20),
 'Stats Query'!D:D,
 "")</f>
        <v>25</v>
      </c>
      <c r="P20" s="1"/>
      <c r="Q20">
        <f>M20-N20</f>
        <v>0</v>
      </c>
      <c r="R20">
        <f>M20-O20</f>
        <v>0</v>
      </c>
      <c r="S20">
        <f t="shared" si="4"/>
        <v>0</v>
      </c>
      <c r="T20" t="str">
        <f t="shared" si="2"/>
        <v>OK</v>
      </c>
    </row>
    <row r="21" spans="1:20" s="29" customFormat="1">
      <c r="A21" s="23" t="s">
        <v>34</v>
      </c>
      <c r="B21" s="22" t="s">
        <v>75</v>
      </c>
      <c r="C21" s="24" t="s">
        <v>36</v>
      </c>
      <c r="D21" s="24" t="s">
        <v>51</v>
      </c>
      <c r="E21" s="25">
        <v>46030</v>
      </c>
      <c r="F21" s="24" t="s">
        <v>37</v>
      </c>
      <c r="G21" s="26">
        <v>46034</v>
      </c>
      <c r="H21" s="26">
        <v>46035</v>
      </c>
      <c r="I21" s="26">
        <v>46037</v>
      </c>
      <c r="J21" s="27">
        <f>NETWORKDAYS(E21,G21)</f>
        <v>3</v>
      </c>
      <c r="K21" s="27">
        <f>NETWORKDAYS(G21, H21)</f>
        <v>2</v>
      </c>
      <c r="L21" s="27">
        <f>IF(OR(H21="", I21="", I21&lt;H21), "", NETWORKDAYS(H21, I21))</f>
        <v>3</v>
      </c>
      <c r="M21" s="28">
        <v>25</v>
      </c>
      <c r="N21" s="28">
        <v>25</v>
      </c>
      <c r="O21" s="24" cm="1">
        <f t="array" ref="O21">_xlfn.XLOOKUP(1,
 ('Stats Query'!C:C = E21) * ('Stats Query'!B:B = F21),
 'Stats Query'!D:D,
 "")</f>
        <v>25</v>
      </c>
      <c r="P21" s="24" t="s">
        <v>76</v>
      </c>
      <c r="Q21" s="29">
        <f>M21-N21</f>
        <v>0</v>
      </c>
      <c r="R21" s="29">
        <f>M21-O21</f>
        <v>0</v>
      </c>
      <c r="S21" s="29">
        <f>N21-O21</f>
        <v>0</v>
      </c>
      <c r="T21" s="29" t="str">
        <f t="shared" si="2"/>
        <v>OK</v>
      </c>
    </row>
    <row r="22" spans="1:20">
      <c r="A22" s="20" t="s">
        <v>29</v>
      </c>
      <c r="B22" s="1" t="s">
        <v>77</v>
      </c>
      <c r="C22" s="1" t="s">
        <v>31</v>
      </c>
      <c r="D22" s="1" t="s">
        <v>32</v>
      </c>
      <c r="E22" s="2">
        <v>46030</v>
      </c>
      <c r="F22" s="1" t="s">
        <v>54</v>
      </c>
      <c r="G22" s="5">
        <v>46031</v>
      </c>
      <c r="H22" s="5">
        <v>46035</v>
      </c>
      <c r="I22" s="5">
        <v>46037</v>
      </c>
      <c r="J22" s="15">
        <f t="shared" si="3"/>
        <v>2</v>
      </c>
      <c r="K22" s="15">
        <f t="shared" si="0"/>
        <v>3</v>
      </c>
      <c r="L22" s="15">
        <f t="shared" si="1"/>
        <v>3</v>
      </c>
      <c r="M22" s="4">
        <v>22</v>
      </c>
      <c r="N22" s="4">
        <v>22</v>
      </c>
      <c r="O22" s="1" cm="1">
        <f t="array" ref="O22">_xlfn.XLOOKUP(1,
 ('Stats Query'!C:C = E22) * ('Stats Query'!B:B = F22),
 'Stats Query'!D:D,
 "")</f>
        <v>22</v>
      </c>
      <c r="P22" s="1"/>
      <c r="Q22">
        <f>M22-N22</f>
        <v>0</v>
      </c>
      <c r="R22">
        <f>M22-O22</f>
        <v>0</v>
      </c>
      <c r="S22">
        <f t="shared" si="4"/>
        <v>0</v>
      </c>
      <c r="T22" t="str">
        <f t="shared" si="2"/>
        <v>OK</v>
      </c>
    </row>
    <row r="23" spans="1:20" s="47" customFormat="1">
      <c r="A23" s="41" t="s">
        <v>46</v>
      </c>
      <c r="B23" s="42" t="s">
        <v>78</v>
      </c>
      <c r="C23" s="42" t="s">
        <v>48</v>
      </c>
      <c r="D23" s="42" t="s">
        <v>32</v>
      </c>
      <c r="E23" s="43">
        <v>46030</v>
      </c>
      <c r="F23" s="42" t="s">
        <v>49</v>
      </c>
      <c r="G23" s="44">
        <v>46031</v>
      </c>
      <c r="H23" s="44">
        <v>46035</v>
      </c>
      <c r="I23" s="44">
        <v>46041</v>
      </c>
      <c r="J23" s="45">
        <f t="shared" si="3"/>
        <v>2</v>
      </c>
      <c r="K23" s="45">
        <f t="shared" si="0"/>
        <v>3</v>
      </c>
      <c r="L23" s="45">
        <f t="shared" si="1"/>
        <v>5</v>
      </c>
      <c r="M23" s="46">
        <v>24</v>
      </c>
      <c r="N23" s="46">
        <v>24</v>
      </c>
      <c r="O23" s="42" cm="1">
        <f t="array" ref="O23">_xlfn.XLOOKUP(1,
 ('Stats Query'!C:C = E23) * ('Stats Query'!B:B = F23),
 'Stats Query'!D:D,
 "")</f>
        <v>3</v>
      </c>
      <c r="P23" s="42"/>
      <c r="Q23" s="47">
        <f>M23-N23</f>
        <v>0</v>
      </c>
      <c r="R23" s="47">
        <f>M23-O23</f>
        <v>21</v>
      </c>
      <c r="S23" s="47">
        <f t="shared" si="4"/>
        <v>21</v>
      </c>
      <c r="T23" s="47" t="str">
        <f t="shared" si="2"/>
        <v>Variance</v>
      </c>
    </row>
    <row r="24" spans="1:20">
      <c r="A24" s="20" t="s">
        <v>61</v>
      </c>
      <c r="B24" s="1" t="s">
        <v>79</v>
      </c>
      <c r="C24" s="1" t="s">
        <v>63</v>
      </c>
      <c r="D24" s="1" t="s">
        <v>32</v>
      </c>
      <c r="E24" s="2">
        <v>46030</v>
      </c>
      <c r="F24" s="1" t="s">
        <v>80</v>
      </c>
      <c r="G24" s="5">
        <v>46031</v>
      </c>
      <c r="H24" s="5">
        <v>46035</v>
      </c>
      <c r="I24" s="5">
        <v>46042</v>
      </c>
      <c r="J24" s="15">
        <f t="shared" si="3"/>
        <v>2</v>
      </c>
      <c r="K24" s="15">
        <f t="shared" si="0"/>
        <v>3</v>
      </c>
      <c r="L24" s="15">
        <f t="shared" si="1"/>
        <v>6</v>
      </c>
      <c r="M24" s="4">
        <v>20</v>
      </c>
      <c r="N24" s="4">
        <v>20</v>
      </c>
      <c r="O24" s="1" cm="1">
        <f t="array" ref="O24">_xlfn.XLOOKUP(1,
 ('Stats Query'!C:C = E24) * ('Stats Query'!B:B = F24),
 'Stats Query'!D:D,
 "")</f>
        <v>20</v>
      </c>
      <c r="P24" s="1"/>
      <c r="Q24">
        <f>M24-N24</f>
        <v>0</v>
      </c>
      <c r="R24">
        <f>M24-O24</f>
        <v>0</v>
      </c>
      <c r="S24">
        <f t="shared" si="4"/>
        <v>0</v>
      </c>
      <c r="T24" t="str">
        <f t="shared" si="2"/>
        <v>OK</v>
      </c>
    </row>
    <row r="25" spans="1:20">
      <c r="A25" s="20" t="s">
        <v>61</v>
      </c>
      <c r="B25" s="1" t="s">
        <v>81</v>
      </c>
      <c r="C25" s="1" t="s">
        <v>63</v>
      </c>
      <c r="D25" s="1" t="s">
        <v>32</v>
      </c>
      <c r="E25" s="2">
        <v>46031</v>
      </c>
      <c r="F25" s="1" t="s">
        <v>80</v>
      </c>
      <c r="G25" s="5">
        <v>46031</v>
      </c>
      <c r="H25" s="5">
        <v>46035</v>
      </c>
      <c r="I25" s="5">
        <v>46041</v>
      </c>
      <c r="J25" s="15">
        <f t="shared" si="3"/>
        <v>1</v>
      </c>
      <c r="K25" s="15">
        <f t="shared" si="0"/>
        <v>3</v>
      </c>
      <c r="L25" s="15">
        <f t="shared" si="1"/>
        <v>5</v>
      </c>
      <c r="M25" s="4">
        <v>19</v>
      </c>
      <c r="N25" s="4">
        <v>19</v>
      </c>
      <c r="O25" s="1" cm="1">
        <f t="array" ref="O25">_xlfn.XLOOKUP(1,
 ('Stats Query'!C:C = E25) * ('Stats Query'!B:B = F25),
 'Stats Query'!D:D,
 "")</f>
        <v>19</v>
      </c>
      <c r="P25" s="1"/>
      <c r="Q25">
        <f>M25-N25</f>
        <v>0</v>
      </c>
      <c r="R25">
        <f>M25-O25</f>
        <v>0</v>
      </c>
      <c r="S25">
        <f t="shared" si="4"/>
        <v>0</v>
      </c>
      <c r="T25" t="str">
        <f t="shared" si="2"/>
        <v>OK</v>
      </c>
    </row>
    <row r="26" spans="1:20">
      <c r="A26" s="20" t="s">
        <v>67</v>
      </c>
      <c r="B26" s="1" t="s">
        <v>82</v>
      </c>
      <c r="C26" s="1" t="s">
        <v>69</v>
      </c>
      <c r="D26" s="1" t="s">
        <v>32</v>
      </c>
      <c r="E26" s="2">
        <v>46034</v>
      </c>
      <c r="F26" s="1" t="s">
        <v>83</v>
      </c>
      <c r="G26" s="5">
        <v>46035</v>
      </c>
      <c r="H26" s="5">
        <v>46035</v>
      </c>
      <c r="I26" s="5">
        <v>46036</v>
      </c>
      <c r="J26" s="15">
        <f t="shared" si="3"/>
        <v>2</v>
      </c>
      <c r="K26" s="15">
        <f t="shared" si="0"/>
        <v>1</v>
      </c>
      <c r="L26" s="15">
        <f t="shared" si="1"/>
        <v>2</v>
      </c>
      <c r="M26" s="4">
        <v>10</v>
      </c>
      <c r="N26" s="4">
        <v>6</v>
      </c>
      <c r="O26" s="1" cm="1">
        <f t="array" ref="O26">_xlfn.XLOOKUP(1,
 ('Stats Query'!C:C = E26) * ('Stats Query'!B:B = F26),
 'Stats Query'!D:D,
 "")</f>
        <v>10</v>
      </c>
      <c r="P26" s="1"/>
      <c r="Q26">
        <f>M26-N26</f>
        <v>4</v>
      </c>
      <c r="R26">
        <f>M26-O26</f>
        <v>0</v>
      </c>
      <c r="S26">
        <f t="shared" si="4"/>
        <v>-4</v>
      </c>
      <c r="T26" t="str">
        <f t="shared" si="2"/>
        <v>Variance</v>
      </c>
    </row>
    <row r="27" spans="1:20">
      <c r="A27" s="20" t="s">
        <v>29</v>
      </c>
      <c r="B27" s="1" t="s">
        <v>84</v>
      </c>
      <c r="C27" s="1" t="s">
        <v>31</v>
      </c>
      <c r="D27" s="1" t="s">
        <v>32</v>
      </c>
      <c r="E27" s="2">
        <v>46034</v>
      </c>
      <c r="F27" s="1" t="s">
        <v>33</v>
      </c>
      <c r="G27" s="5">
        <v>46037</v>
      </c>
      <c r="H27" s="5">
        <v>46042</v>
      </c>
      <c r="I27" s="5">
        <v>46043</v>
      </c>
      <c r="J27" s="15">
        <f t="shared" si="3"/>
        <v>4</v>
      </c>
      <c r="K27" s="15">
        <f t="shared" si="0"/>
        <v>4</v>
      </c>
      <c r="L27" s="15">
        <f t="shared" si="1"/>
        <v>2</v>
      </c>
      <c r="M27" s="4">
        <v>20</v>
      </c>
      <c r="N27" s="4">
        <v>20</v>
      </c>
      <c r="O27" s="1" cm="1">
        <f t="array" ref="O27">_xlfn.XLOOKUP(1,
 ('Stats Query'!C:C = E27) * ('Stats Query'!B:B = F27),
 'Stats Query'!D:D,
 "")</f>
        <v>20</v>
      </c>
      <c r="P27" s="1"/>
      <c r="Q27">
        <f>M27-N27</f>
        <v>0</v>
      </c>
      <c r="R27">
        <f>M27-O27</f>
        <v>0</v>
      </c>
      <c r="S27">
        <f t="shared" si="4"/>
        <v>0</v>
      </c>
      <c r="T27" t="str">
        <f t="shared" si="2"/>
        <v>OK</v>
      </c>
    </row>
    <row r="28" spans="1:20">
      <c r="A28" s="20" t="s">
        <v>42</v>
      </c>
      <c r="B28" s="1" t="s">
        <v>85</v>
      </c>
      <c r="C28" s="1" t="s">
        <v>44</v>
      </c>
      <c r="D28" s="1" t="s">
        <v>32</v>
      </c>
      <c r="E28" s="2">
        <v>46035</v>
      </c>
      <c r="F28" s="1" t="s">
        <v>45</v>
      </c>
      <c r="G28" s="5">
        <v>46038</v>
      </c>
      <c r="H28" s="5">
        <v>46042</v>
      </c>
      <c r="I28" s="5">
        <v>46048</v>
      </c>
      <c r="J28" s="15">
        <f t="shared" si="3"/>
        <v>4</v>
      </c>
      <c r="K28" s="15">
        <f t="shared" si="0"/>
        <v>3</v>
      </c>
      <c r="L28" s="15">
        <f t="shared" si="1"/>
        <v>5</v>
      </c>
      <c r="M28" s="4">
        <v>17</v>
      </c>
      <c r="N28" s="4">
        <v>17</v>
      </c>
      <c r="O28" s="1" cm="1">
        <f t="array" ref="O28">_xlfn.XLOOKUP(1,
 ('Stats Query'!C:C = E28) * ('Stats Query'!B:B = F28),
 'Stats Query'!D:D,
 "")</f>
        <v>17</v>
      </c>
      <c r="P28" s="1"/>
      <c r="Q28">
        <f>M28-N28</f>
        <v>0</v>
      </c>
      <c r="R28">
        <f>M28-O28</f>
        <v>0</v>
      </c>
      <c r="S28">
        <f t="shared" si="4"/>
        <v>0</v>
      </c>
      <c r="T28" t="str">
        <f t="shared" si="2"/>
        <v>OK</v>
      </c>
    </row>
    <row r="29" spans="1:20">
      <c r="A29" s="20" t="s">
        <v>56</v>
      </c>
      <c r="B29" s="9" t="s">
        <v>86</v>
      </c>
      <c r="C29" s="1" t="s">
        <v>56</v>
      </c>
      <c r="D29" s="1" t="s">
        <v>32</v>
      </c>
      <c r="E29" s="2">
        <v>46035</v>
      </c>
      <c r="F29" s="1" t="s">
        <v>49</v>
      </c>
      <c r="G29" s="30">
        <v>46035</v>
      </c>
      <c r="H29" s="30">
        <v>46036</v>
      </c>
      <c r="I29" s="5">
        <v>46048</v>
      </c>
      <c r="J29" s="15">
        <f t="shared" si="3"/>
        <v>1</v>
      </c>
      <c r="K29" s="15">
        <f t="shared" si="0"/>
        <v>2</v>
      </c>
      <c r="L29" s="15">
        <f t="shared" si="1"/>
        <v>9</v>
      </c>
      <c r="M29" s="4">
        <v>1</v>
      </c>
      <c r="N29" s="4">
        <v>1</v>
      </c>
      <c r="O29" s="1" cm="1">
        <f t="array" ref="O29">_xlfn.XLOOKUP(1,
 ('Stats Query'!C:C = E29) * ('Stats Query'!B:B = F29),
 'Stats Query'!D:D,
 "")</f>
        <v>4</v>
      </c>
      <c r="P29" s="1"/>
      <c r="Q29">
        <f>M29-N29</f>
        <v>0</v>
      </c>
      <c r="R29">
        <f>M29-O29</f>
        <v>-3</v>
      </c>
      <c r="S29">
        <f t="shared" si="4"/>
        <v>-3</v>
      </c>
      <c r="T29" t="str">
        <f t="shared" si="2"/>
        <v>Variance</v>
      </c>
    </row>
    <row r="30" spans="1:20" s="29" customFormat="1">
      <c r="A30" s="23" t="s">
        <v>56</v>
      </c>
      <c r="B30" s="9" t="s">
        <v>87</v>
      </c>
      <c r="C30" s="24" t="s">
        <v>56</v>
      </c>
      <c r="D30" s="24" t="s">
        <v>32</v>
      </c>
      <c r="E30" s="25">
        <v>46035</v>
      </c>
      <c r="F30" s="24" t="s">
        <v>49</v>
      </c>
      <c r="G30" s="8">
        <v>46037</v>
      </c>
      <c r="H30" s="8">
        <v>46042</v>
      </c>
      <c r="I30" s="26">
        <v>46048</v>
      </c>
      <c r="J30" s="27">
        <f t="shared" si="3"/>
        <v>3</v>
      </c>
      <c r="K30" s="27">
        <f t="shared" si="0"/>
        <v>4</v>
      </c>
      <c r="L30" s="27">
        <f t="shared" si="1"/>
        <v>5</v>
      </c>
      <c r="M30" s="28">
        <v>1</v>
      </c>
      <c r="N30" s="28">
        <v>1</v>
      </c>
      <c r="O30" s="24" cm="1">
        <f t="array" ref="O30">_xlfn.XLOOKUP(1,
 ('Stats Query'!C:C = E30) * ('Stats Query'!B:B = F30),
 'Stats Query'!D:D,
 "")</f>
        <v>4</v>
      </c>
      <c r="P30" s="24" t="s">
        <v>88</v>
      </c>
      <c r="Q30" s="29">
        <f>M30-N30</f>
        <v>0</v>
      </c>
      <c r="R30" s="29">
        <f>M30-O30</f>
        <v>-3</v>
      </c>
      <c r="S30" s="29">
        <f t="shared" si="4"/>
        <v>-3</v>
      </c>
      <c r="T30" s="29" t="str">
        <f t="shared" si="2"/>
        <v>Variance</v>
      </c>
    </row>
    <row r="31" spans="1:20">
      <c r="A31" s="20" t="s">
        <v>56</v>
      </c>
      <c r="B31" s="1" t="s">
        <v>89</v>
      </c>
      <c r="C31" s="1" t="s">
        <v>56</v>
      </c>
      <c r="D31" s="1" t="s">
        <v>32</v>
      </c>
      <c r="E31" s="2">
        <v>46036</v>
      </c>
      <c r="F31" s="1" t="s">
        <v>49</v>
      </c>
      <c r="G31" s="31">
        <v>46037</v>
      </c>
      <c r="H31" s="31">
        <v>46042</v>
      </c>
      <c r="I31" s="2">
        <v>46044</v>
      </c>
      <c r="J31" s="15">
        <f t="shared" si="3"/>
        <v>2</v>
      </c>
      <c r="K31" s="15">
        <f t="shared" si="0"/>
        <v>4</v>
      </c>
      <c r="L31" s="15">
        <f t="shared" si="1"/>
        <v>3</v>
      </c>
      <c r="M31" s="1">
        <v>5</v>
      </c>
      <c r="N31" s="1">
        <v>5</v>
      </c>
      <c r="O31" s="1" cm="1">
        <f t="array" ref="O31">_xlfn.XLOOKUP(1,
 ('Stats Query'!C:C = E31) * ('Stats Query'!B:B = F31),
 'Stats Query'!D:D,
 "")</f>
        <v>5</v>
      </c>
      <c r="P31" s="1" t="s">
        <v>90</v>
      </c>
      <c r="Q31">
        <f>M31-N31</f>
        <v>0</v>
      </c>
      <c r="R31">
        <f>M31-O31</f>
        <v>0</v>
      </c>
      <c r="S31">
        <f t="shared" si="4"/>
        <v>0</v>
      </c>
      <c r="T31" t="str">
        <f t="shared" si="2"/>
        <v>OK</v>
      </c>
    </row>
    <row r="32" spans="1:20">
      <c r="A32" s="20" t="s">
        <v>42</v>
      </c>
      <c r="B32" s="1" t="s">
        <v>91</v>
      </c>
      <c r="C32" s="1" t="s">
        <v>44</v>
      </c>
      <c r="D32" s="1" t="s">
        <v>32</v>
      </c>
      <c r="E32" s="2">
        <v>46037</v>
      </c>
      <c r="F32" s="1" t="s">
        <v>45</v>
      </c>
      <c r="G32" s="5">
        <v>46038</v>
      </c>
      <c r="H32" s="5">
        <v>46042</v>
      </c>
      <c r="I32" s="5">
        <v>46045</v>
      </c>
      <c r="J32" s="15">
        <f t="shared" si="3"/>
        <v>2</v>
      </c>
      <c r="K32" s="15">
        <f t="shared" si="0"/>
        <v>3</v>
      </c>
      <c r="L32" s="15">
        <f t="shared" si="1"/>
        <v>4</v>
      </c>
      <c r="M32" s="4">
        <v>17</v>
      </c>
      <c r="N32" s="4">
        <v>17</v>
      </c>
      <c r="O32" s="1" cm="1">
        <f t="array" ref="O32">_xlfn.XLOOKUP(1,
 ('Stats Query'!C:C = E32) * ('Stats Query'!B:B = F32),
 'Stats Query'!D:D,
 "")</f>
        <v>17</v>
      </c>
      <c r="P32" s="1"/>
      <c r="Q32">
        <f>M32-N32</f>
        <v>0</v>
      </c>
      <c r="R32">
        <f>M32-O32</f>
        <v>0</v>
      </c>
      <c r="S32">
        <f t="shared" si="4"/>
        <v>0</v>
      </c>
      <c r="T32" t="str">
        <f t="shared" si="2"/>
        <v>OK</v>
      </c>
    </row>
    <row r="33" spans="1:20">
      <c r="A33" s="20" t="s">
        <v>46</v>
      </c>
      <c r="B33" s="1" t="s">
        <v>92</v>
      </c>
      <c r="C33" s="1" t="s">
        <v>48</v>
      </c>
      <c r="D33" s="1" t="s">
        <v>32</v>
      </c>
      <c r="E33" s="2">
        <v>46037</v>
      </c>
      <c r="F33" s="1" t="s">
        <v>49</v>
      </c>
      <c r="G33" s="5">
        <v>46041</v>
      </c>
      <c r="H33" s="5">
        <v>46043</v>
      </c>
      <c r="I33" s="5">
        <v>46048</v>
      </c>
      <c r="J33" s="15">
        <f t="shared" si="3"/>
        <v>3</v>
      </c>
      <c r="K33" s="15">
        <f t="shared" si="0"/>
        <v>3</v>
      </c>
      <c r="L33" s="15">
        <f t="shared" si="1"/>
        <v>4</v>
      </c>
      <c r="M33" s="4">
        <v>20</v>
      </c>
      <c r="N33" s="4">
        <v>20</v>
      </c>
      <c r="O33" s="1" cm="1">
        <f t="array" ref="O33">_xlfn.XLOOKUP(1,
 ('Stats Query'!C:C = E33) * ('Stats Query'!B:B = F33),
 'Stats Query'!D:D,
 "")</f>
        <v>20</v>
      </c>
      <c r="P33" s="1"/>
      <c r="Q33">
        <f>M33-N33</f>
        <v>0</v>
      </c>
      <c r="R33">
        <f>M33-O33</f>
        <v>0</v>
      </c>
      <c r="S33">
        <f t="shared" si="4"/>
        <v>0</v>
      </c>
      <c r="T33" t="str">
        <f t="shared" si="2"/>
        <v>OK</v>
      </c>
    </row>
    <row r="34" spans="1:20">
      <c r="A34" s="20" t="s">
        <v>46</v>
      </c>
      <c r="B34" s="1" t="s">
        <v>93</v>
      </c>
      <c r="C34" s="1" t="s">
        <v>48</v>
      </c>
      <c r="D34" s="1" t="s">
        <v>32</v>
      </c>
      <c r="E34" s="2">
        <v>46038</v>
      </c>
      <c r="F34" s="1" t="s">
        <v>49</v>
      </c>
      <c r="G34" s="5">
        <v>46041</v>
      </c>
      <c r="H34" s="5">
        <v>46043</v>
      </c>
      <c r="I34" s="5">
        <v>46044</v>
      </c>
      <c r="J34" s="15">
        <f t="shared" si="3"/>
        <v>2</v>
      </c>
      <c r="K34" s="15">
        <f t="shared" si="0"/>
        <v>3</v>
      </c>
      <c r="L34" s="15">
        <f t="shared" si="1"/>
        <v>2</v>
      </c>
      <c r="M34" s="4">
        <v>16</v>
      </c>
      <c r="N34" s="4">
        <v>14</v>
      </c>
      <c r="O34" s="1" cm="1">
        <f t="array" ref="O34">_xlfn.XLOOKUP(1,
 ('Stats Query'!C:C = E34) * ('Stats Query'!B:B = F34),
 'Stats Query'!D:D,
 "")</f>
        <v>16</v>
      </c>
      <c r="P34" s="1"/>
      <c r="Q34">
        <f>M34-N34</f>
        <v>2</v>
      </c>
      <c r="R34">
        <f>M34-O34</f>
        <v>0</v>
      </c>
      <c r="S34">
        <f t="shared" si="4"/>
        <v>-2</v>
      </c>
      <c r="T34" t="str">
        <f t="shared" si="2"/>
        <v>Variance</v>
      </c>
    </row>
    <row r="35" spans="1:20">
      <c r="A35" s="20" t="s">
        <v>29</v>
      </c>
      <c r="B35" s="1" t="s">
        <v>94</v>
      </c>
      <c r="C35" s="1" t="s">
        <v>31</v>
      </c>
      <c r="D35" s="1" t="s">
        <v>32</v>
      </c>
      <c r="E35" s="2">
        <v>46041</v>
      </c>
      <c r="F35" s="1" t="s">
        <v>33</v>
      </c>
      <c r="G35" s="5">
        <v>46041</v>
      </c>
      <c r="H35" s="5">
        <v>46042</v>
      </c>
      <c r="I35" s="5">
        <v>46044</v>
      </c>
      <c r="J35" s="15">
        <f t="shared" si="3"/>
        <v>1</v>
      </c>
      <c r="K35" s="15">
        <f t="shared" si="0"/>
        <v>2</v>
      </c>
      <c r="L35" s="15">
        <f t="shared" si="1"/>
        <v>3</v>
      </c>
      <c r="M35" s="4">
        <v>18</v>
      </c>
      <c r="N35" s="4">
        <v>18</v>
      </c>
      <c r="O35" s="1" cm="1">
        <f t="array" ref="O35">_xlfn.XLOOKUP(1,
 ('Stats Query'!C:C = E35) * ('Stats Query'!B:B = F35),
 'Stats Query'!D:D,
 "")</f>
        <v>18</v>
      </c>
      <c r="P35" s="1"/>
      <c r="Q35">
        <f>M35-N35</f>
        <v>0</v>
      </c>
      <c r="R35">
        <f>M35-O35</f>
        <v>0</v>
      </c>
      <c r="S35">
        <f t="shared" si="4"/>
        <v>0</v>
      </c>
      <c r="T35" t="str">
        <f t="shared" si="2"/>
        <v>OK</v>
      </c>
    </row>
    <row r="36" spans="1:20">
      <c r="A36" s="20" t="s">
        <v>46</v>
      </c>
      <c r="B36" s="1" t="s">
        <v>95</v>
      </c>
      <c r="C36" s="1" t="s">
        <v>48</v>
      </c>
      <c r="D36" s="1" t="s">
        <v>32</v>
      </c>
      <c r="E36" s="2">
        <v>46041</v>
      </c>
      <c r="F36" s="1" t="s">
        <v>49</v>
      </c>
      <c r="G36" s="5">
        <v>46041</v>
      </c>
      <c r="H36" s="5">
        <v>46043</v>
      </c>
      <c r="I36" s="5">
        <v>46048</v>
      </c>
      <c r="J36" s="15">
        <f t="shared" si="3"/>
        <v>1</v>
      </c>
      <c r="K36" s="15">
        <f t="shared" si="0"/>
        <v>3</v>
      </c>
      <c r="L36" s="15">
        <f t="shared" si="1"/>
        <v>4</v>
      </c>
      <c r="M36" s="4">
        <v>12</v>
      </c>
      <c r="N36" s="4">
        <v>12</v>
      </c>
      <c r="O36" s="1" cm="1">
        <f t="array" ref="O36">_xlfn.XLOOKUP(1,
 ('Stats Query'!C:C = E36) * ('Stats Query'!B:B = F36),
 'Stats Query'!D:D,
 "")</f>
        <v>12</v>
      </c>
      <c r="P36" s="1"/>
      <c r="Q36">
        <f>M36-N36</f>
        <v>0</v>
      </c>
      <c r="R36">
        <f>M36-O36</f>
        <v>0</v>
      </c>
      <c r="S36">
        <f t="shared" si="4"/>
        <v>0</v>
      </c>
      <c r="T36" t="str">
        <f t="shared" si="2"/>
        <v>OK</v>
      </c>
    </row>
    <row r="37" spans="1:20">
      <c r="A37" s="20" t="s">
        <v>46</v>
      </c>
      <c r="B37" s="1" t="s">
        <v>96</v>
      </c>
      <c r="C37" s="1" t="s">
        <v>48</v>
      </c>
      <c r="D37" s="1" t="s">
        <v>32</v>
      </c>
      <c r="E37" s="2">
        <v>46042</v>
      </c>
      <c r="F37" s="1" t="s">
        <v>49</v>
      </c>
      <c r="G37" s="5">
        <v>46048</v>
      </c>
      <c r="H37" s="5">
        <v>46051</v>
      </c>
      <c r="I37" s="5">
        <v>46045</v>
      </c>
      <c r="J37" s="15">
        <f t="shared" si="3"/>
        <v>5</v>
      </c>
      <c r="K37" s="15">
        <f t="shared" si="0"/>
        <v>4</v>
      </c>
      <c r="L37" s="21" t="str">
        <f t="shared" si="1"/>
        <v/>
      </c>
      <c r="M37" s="4">
        <v>18</v>
      </c>
      <c r="N37" s="4">
        <v>18</v>
      </c>
      <c r="O37" s="1" cm="1">
        <f t="array" ref="O37">_xlfn.XLOOKUP(1,
 ('Stats Query'!C:C = E37) * ('Stats Query'!B:B = F37),
 'Stats Query'!D:D,
 "")</f>
        <v>18</v>
      </c>
      <c r="P37" s="1" t="s">
        <v>97</v>
      </c>
      <c r="Q37">
        <f>M37-N37</f>
        <v>0</v>
      </c>
      <c r="R37">
        <f>M37-O37</f>
        <v>0</v>
      </c>
      <c r="S37">
        <f t="shared" si="4"/>
        <v>0</v>
      </c>
      <c r="T37" t="str">
        <f t="shared" si="2"/>
        <v>OK</v>
      </c>
    </row>
    <row r="38" spans="1:20">
      <c r="A38" s="20" t="s">
        <v>98</v>
      </c>
      <c r="B38" s="1" t="s">
        <v>99</v>
      </c>
      <c r="C38" s="1" t="s">
        <v>100</v>
      </c>
      <c r="D38" s="1" t="s">
        <v>51</v>
      </c>
      <c r="E38" s="2">
        <v>46051</v>
      </c>
      <c r="F38" s="1" t="s">
        <v>101</v>
      </c>
      <c r="G38" s="5">
        <v>46052</v>
      </c>
      <c r="H38" s="5">
        <v>46055</v>
      </c>
      <c r="I38" s="5">
        <v>46054</v>
      </c>
      <c r="J38" s="15">
        <f t="shared" si="3"/>
        <v>2</v>
      </c>
      <c r="K38" s="15">
        <f t="shared" si="0"/>
        <v>2</v>
      </c>
      <c r="L38" s="21" t="str">
        <f t="shared" si="1"/>
        <v/>
      </c>
      <c r="M38" s="4">
        <v>22</v>
      </c>
      <c r="N38" s="4">
        <v>22</v>
      </c>
      <c r="O38" s="1" cm="1">
        <f t="array" ref="O38">_xlfn.XLOOKUP(1,
 ('Stats Query'!C:C = E38) * ('Stats Query'!B:B = F38),
 'Stats Query'!D:D,
 "")</f>
        <v>22</v>
      </c>
      <c r="P38" s="1" t="s">
        <v>97</v>
      </c>
      <c r="Q38">
        <f>M38-N38</f>
        <v>0</v>
      </c>
      <c r="R38">
        <f>M38-O38</f>
        <v>0</v>
      </c>
      <c r="S38">
        <f t="shared" si="4"/>
        <v>0</v>
      </c>
      <c r="T38" t="str">
        <f t="shared" si="2"/>
        <v>OK</v>
      </c>
    </row>
    <row r="39" spans="1:20">
      <c r="A39" s="20" t="s">
        <v>102</v>
      </c>
      <c r="B39" s="4" t="s">
        <v>103</v>
      </c>
      <c r="C39" s="1" t="s">
        <v>104</v>
      </c>
      <c r="D39" s="1" t="s">
        <v>32</v>
      </c>
      <c r="E39" s="2">
        <v>46052</v>
      </c>
      <c r="F39" s="1" t="s">
        <v>37</v>
      </c>
      <c r="G39" s="5">
        <v>46052</v>
      </c>
      <c r="H39" s="5">
        <v>46055</v>
      </c>
      <c r="I39" s="5">
        <v>46054</v>
      </c>
      <c r="J39" s="15">
        <f t="shared" si="3"/>
        <v>1</v>
      </c>
      <c r="K39" s="15">
        <f t="shared" si="0"/>
        <v>2</v>
      </c>
      <c r="L39" s="21" t="str">
        <f t="shared" si="1"/>
        <v/>
      </c>
      <c r="M39" s="4">
        <v>23</v>
      </c>
      <c r="N39" s="4">
        <v>23</v>
      </c>
      <c r="O39" s="1" cm="1">
        <f t="array" ref="O39">_xlfn.XLOOKUP(1,
 ('Stats Query'!C:C = E39) * ('Stats Query'!B:B = F39),
 'Stats Query'!D:D,
 "")</f>
        <v>23</v>
      </c>
      <c r="P39" s="1" t="s">
        <v>97</v>
      </c>
      <c r="Q39">
        <f>M39-N39</f>
        <v>0</v>
      </c>
      <c r="R39">
        <f>M39-O39</f>
        <v>0</v>
      </c>
      <c r="S39">
        <f t="shared" si="4"/>
        <v>0</v>
      </c>
      <c r="T39" t="str">
        <f t="shared" si="2"/>
        <v>OK</v>
      </c>
    </row>
  </sheetData>
  <sortState xmlns:xlrd2="http://schemas.microsoft.com/office/spreadsheetml/2017/richdata2" ref="A2:P39">
    <sortCondition ref="E2:E39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8CAB9-E2AE-40E3-8EA8-33CF007E9EEC}">
  <dimension ref="B2:D38"/>
  <sheetViews>
    <sheetView workbookViewId="0">
      <selection activeCell="B2" sqref="B2:D38"/>
    </sheetView>
  </sheetViews>
  <sheetFormatPr defaultRowHeight="14.45"/>
  <cols>
    <col min="2" max="2" width="25.7109375" bestFit="1" customWidth="1"/>
    <col min="3" max="3" width="11.42578125" bestFit="1" customWidth="1"/>
    <col min="4" max="4" width="10.5703125" bestFit="1" customWidth="1"/>
  </cols>
  <sheetData>
    <row r="2" spans="2:4" ht="43.15">
      <c r="B2" s="35" t="s">
        <v>14</v>
      </c>
      <c r="C2" s="36" t="s">
        <v>13</v>
      </c>
      <c r="D2" s="37" t="s">
        <v>105</v>
      </c>
    </row>
    <row r="3" spans="2:4">
      <c r="B3" s="20" t="s">
        <v>33</v>
      </c>
      <c r="C3" s="2">
        <v>46027</v>
      </c>
      <c r="D3" s="33">
        <v>12</v>
      </c>
    </row>
    <row r="4" spans="2:4">
      <c r="B4" s="20" t="s">
        <v>33</v>
      </c>
      <c r="C4" s="2">
        <v>46034</v>
      </c>
      <c r="D4" s="33">
        <v>20</v>
      </c>
    </row>
    <row r="5" spans="2:4">
      <c r="B5" s="20" t="s">
        <v>33</v>
      </c>
      <c r="C5" s="2">
        <v>46041</v>
      </c>
      <c r="D5" s="33">
        <v>18</v>
      </c>
    </row>
    <row r="6" spans="2:4">
      <c r="B6" s="20" t="s">
        <v>101</v>
      </c>
      <c r="C6" s="2">
        <v>46051</v>
      </c>
      <c r="D6" s="33">
        <v>22</v>
      </c>
    </row>
    <row r="7" spans="2:4">
      <c r="B7" s="20" t="s">
        <v>41</v>
      </c>
      <c r="C7" s="2">
        <v>46030</v>
      </c>
      <c r="D7" s="33">
        <v>21</v>
      </c>
    </row>
    <row r="8" spans="2:4">
      <c r="B8" s="20" t="s">
        <v>41</v>
      </c>
      <c r="C8" s="2">
        <v>46028</v>
      </c>
      <c r="D8" s="33">
        <v>23</v>
      </c>
    </row>
    <row r="9" spans="2:4">
      <c r="B9" s="20" t="s">
        <v>41</v>
      </c>
      <c r="C9" s="2">
        <v>46029</v>
      </c>
      <c r="D9" s="33">
        <v>20</v>
      </c>
    </row>
    <row r="10" spans="2:4">
      <c r="B10" s="20" t="s">
        <v>41</v>
      </c>
      <c r="C10" s="2">
        <v>46027</v>
      </c>
      <c r="D10" s="33">
        <v>21</v>
      </c>
    </row>
    <row r="11" spans="2:4">
      <c r="B11" s="20" t="s">
        <v>45</v>
      </c>
      <c r="C11" s="2">
        <v>46028</v>
      </c>
      <c r="D11" s="33">
        <v>19</v>
      </c>
    </row>
    <row r="12" spans="2:4">
      <c r="B12" s="20" t="s">
        <v>45</v>
      </c>
      <c r="C12" s="2">
        <v>46030</v>
      </c>
      <c r="D12" s="33">
        <v>20</v>
      </c>
    </row>
    <row r="13" spans="2:4">
      <c r="B13" s="20" t="s">
        <v>45</v>
      </c>
      <c r="C13" s="2">
        <v>46037</v>
      </c>
      <c r="D13" s="33">
        <v>17</v>
      </c>
    </row>
    <row r="14" spans="2:4">
      <c r="B14" s="20" t="s">
        <v>45</v>
      </c>
      <c r="C14" s="2">
        <v>46035</v>
      </c>
      <c r="D14" s="33">
        <v>17</v>
      </c>
    </row>
    <row r="15" spans="2:4">
      <c r="B15" s="20" t="s">
        <v>80</v>
      </c>
      <c r="C15" s="2">
        <v>46031</v>
      </c>
      <c r="D15" s="33">
        <v>19</v>
      </c>
    </row>
    <row r="16" spans="2:4">
      <c r="B16" s="20" t="s">
        <v>80</v>
      </c>
      <c r="C16" s="2">
        <v>46030</v>
      </c>
      <c r="D16" s="33">
        <v>20</v>
      </c>
    </row>
    <row r="17" spans="2:4">
      <c r="B17" s="20" t="s">
        <v>64</v>
      </c>
      <c r="C17" s="2">
        <v>46029</v>
      </c>
      <c r="D17" s="33">
        <v>19</v>
      </c>
    </row>
    <row r="18" spans="2:4">
      <c r="B18" s="20" t="s">
        <v>49</v>
      </c>
      <c r="C18" s="2">
        <v>46028</v>
      </c>
      <c r="D18" s="33">
        <v>14</v>
      </c>
    </row>
    <row r="19" spans="2:4">
      <c r="B19" s="20" t="s">
        <v>49</v>
      </c>
      <c r="C19" s="2">
        <v>46029</v>
      </c>
      <c r="D19" s="33">
        <v>2</v>
      </c>
    </row>
    <row r="20" spans="2:4">
      <c r="B20" s="20" t="s">
        <v>49</v>
      </c>
      <c r="C20" s="2">
        <v>46029</v>
      </c>
      <c r="D20" s="33">
        <v>19</v>
      </c>
    </row>
    <row r="21" spans="2:4">
      <c r="B21" s="20" t="s">
        <v>49</v>
      </c>
      <c r="C21" s="2">
        <v>46030</v>
      </c>
      <c r="D21" s="33">
        <v>3</v>
      </c>
    </row>
    <row r="22" spans="2:4">
      <c r="B22" s="20" t="s">
        <v>49</v>
      </c>
      <c r="C22" s="2">
        <v>46030</v>
      </c>
      <c r="D22" s="33">
        <v>24</v>
      </c>
    </row>
    <row r="23" spans="2:4">
      <c r="B23" s="20" t="s">
        <v>49</v>
      </c>
      <c r="C23" s="2">
        <v>46036</v>
      </c>
      <c r="D23" s="34">
        <v>5</v>
      </c>
    </row>
    <row r="24" spans="2:4">
      <c r="B24" s="20" t="s">
        <v>49</v>
      </c>
      <c r="C24" s="2">
        <v>46038</v>
      </c>
      <c r="D24" s="33">
        <v>16</v>
      </c>
    </row>
    <row r="25" spans="2:4">
      <c r="B25" s="20" t="s">
        <v>49</v>
      </c>
      <c r="C25" s="2">
        <v>46042</v>
      </c>
      <c r="D25" s="33">
        <v>18</v>
      </c>
    </row>
    <row r="26" spans="2:4">
      <c r="B26" s="20" t="s">
        <v>49</v>
      </c>
      <c r="C26" s="2">
        <v>46035</v>
      </c>
      <c r="D26" s="33">
        <v>4</v>
      </c>
    </row>
    <row r="27" spans="2:4">
      <c r="B27" s="20" t="s">
        <v>49</v>
      </c>
      <c r="C27" s="2">
        <v>46037</v>
      </c>
      <c r="D27" s="33">
        <v>20</v>
      </c>
    </row>
    <row r="28" spans="2:4">
      <c r="B28" s="20" t="s">
        <v>49</v>
      </c>
      <c r="C28" s="2">
        <v>46041</v>
      </c>
      <c r="D28" s="33">
        <v>12</v>
      </c>
    </row>
    <row r="29" spans="2:4">
      <c r="B29" s="20" t="s">
        <v>70</v>
      </c>
      <c r="C29" s="2">
        <v>46029</v>
      </c>
      <c r="D29" s="33">
        <v>10</v>
      </c>
    </row>
    <row r="30" spans="2:4">
      <c r="B30" s="20" t="s">
        <v>37</v>
      </c>
      <c r="C30" s="2">
        <v>46027</v>
      </c>
      <c r="D30" s="33">
        <v>17</v>
      </c>
    </row>
    <row r="31" spans="2:4">
      <c r="B31" s="20" t="s">
        <v>37</v>
      </c>
      <c r="C31" s="2">
        <v>46028</v>
      </c>
      <c r="D31" s="33">
        <v>25</v>
      </c>
    </row>
    <row r="32" spans="2:4">
      <c r="B32" s="20" t="s">
        <v>37</v>
      </c>
      <c r="C32" s="2">
        <v>46029</v>
      </c>
      <c r="D32" s="33">
        <v>22</v>
      </c>
    </row>
    <row r="33" spans="2:4">
      <c r="B33" s="20" t="s">
        <v>37</v>
      </c>
      <c r="C33" s="2">
        <v>46030</v>
      </c>
      <c r="D33" s="33">
        <v>25</v>
      </c>
    </row>
    <row r="34" spans="2:4">
      <c r="B34" s="20" t="s">
        <v>37</v>
      </c>
      <c r="C34" s="2">
        <v>46052</v>
      </c>
      <c r="D34" s="33">
        <v>23</v>
      </c>
    </row>
    <row r="35" spans="2:4">
      <c r="B35" s="20" t="s">
        <v>54</v>
      </c>
      <c r="C35" s="2">
        <v>46029</v>
      </c>
      <c r="D35" s="33">
        <v>23</v>
      </c>
    </row>
    <row r="36" spans="2:4">
      <c r="B36" s="20" t="s">
        <v>54</v>
      </c>
      <c r="C36" s="2">
        <v>46028</v>
      </c>
      <c r="D36" s="33">
        <v>25</v>
      </c>
    </row>
    <row r="37" spans="2:4">
      <c r="B37" s="20" t="s">
        <v>54</v>
      </c>
      <c r="C37" s="2">
        <v>46030</v>
      </c>
      <c r="D37" s="33">
        <v>22</v>
      </c>
    </row>
    <row r="38" spans="2:4">
      <c r="B38" s="38" t="s">
        <v>83</v>
      </c>
      <c r="C38" s="39">
        <v>46034</v>
      </c>
      <c r="D38" s="40">
        <v>10</v>
      </c>
    </row>
  </sheetData>
  <sortState xmlns:xlrd2="http://schemas.microsoft.com/office/spreadsheetml/2017/richdata2" ref="B3:D38">
    <sortCondition ref="B3:B38"/>
  </sortState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6E1EF-A62C-4D02-9AAE-A57D4B4E4BC3}">
  <dimension ref="A3:H29"/>
  <sheetViews>
    <sheetView topLeftCell="A3" workbookViewId="0">
      <selection activeCell="D25" sqref="D25"/>
    </sheetView>
  </sheetViews>
  <sheetFormatPr defaultRowHeight="15"/>
  <cols>
    <col min="1" max="1" width="33" customWidth="1"/>
    <col min="2" max="2" width="8.42578125" bestFit="1" customWidth="1"/>
    <col min="3" max="3" width="14.7109375" customWidth="1"/>
    <col min="4" max="4" width="14.42578125" customWidth="1"/>
    <col min="5" max="5" width="16.140625" customWidth="1"/>
    <col min="6" max="6" width="12.42578125" customWidth="1"/>
    <col min="7" max="7" width="11.42578125" customWidth="1"/>
    <col min="8" max="8" width="11.85546875" customWidth="1"/>
  </cols>
  <sheetData>
    <row r="3" spans="1:8" ht="57.75">
      <c r="A3" s="11" t="s">
        <v>14</v>
      </c>
      <c r="B3" s="11" t="s">
        <v>28</v>
      </c>
      <c r="C3" s="10" t="s">
        <v>106</v>
      </c>
      <c r="D3" s="10" t="s">
        <v>107</v>
      </c>
      <c r="E3" s="10" t="s">
        <v>108</v>
      </c>
      <c r="F3" s="10" t="s">
        <v>109</v>
      </c>
      <c r="G3" s="10" t="s">
        <v>110</v>
      </c>
      <c r="H3" s="10" t="s">
        <v>111</v>
      </c>
    </row>
    <row r="4" spans="1:8">
      <c r="A4" t="s">
        <v>33</v>
      </c>
      <c r="B4" t="s">
        <v>112</v>
      </c>
      <c r="C4" s="12">
        <v>38</v>
      </c>
      <c r="D4" s="12">
        <v>38</v>
      </c>
      <c r="E4" s="12">
        <v>38</v>
      </c>
      <c r="F4" s="12">
        <v>0</v>
      </c>
      <c r="G4" s="12">
        <v>0</v>
      </c>
      <c r="H4" s="12">
        <v>0</v>
      </c>
    </row>
    <row r="5" spans="1:8">
      <c r="B5" t="s">
        <v>113</v>
      </c>
      <c r="C5" s="12">
        <v>14</v>
      </c>
      <c r="D5" s="12">
        <v>14</v>
      </c>
      <c r="E5" s="12">
        <v>12</v>
      </c>
      <c r="F5" s="12">
        <v>0</v>
      </c>
      <c r="G5" s="12">
        <v>2</v>
      </c>
      <c r="H5" s="12">
        <v>2</v>
      </c>
    </row>
    <row r="6" spans="1:8">
      <c r="A6" t="s">
        <v>114</v>
      </c>
      <c r="C6" s="12">
        <v>52</v>
      </c>
      <c r="D6" s="12">
        <v>52</v>
      </c>
      <c r="E6" s="12">
        <v>50</v>
      </c>
      <c r="F6" s="12">
        <v>0</v>
      </c>
      <c r="G6" s="12">
        <v>2</v>
      </c>
      <c r="H6" s="12">
        <v>2</v>
      </c>
    </row>
    <row r="7" spans="1:8">
      <c r="A7" t="s">
        <v>101</v>
      </c>
      <c r="B7" t="s">
        <v>112</v>
      </c>
      <c r="C7" s="12">
        <v>22</v>
      </c>
      <c r="D7" s="12">
        <v>22</v>
      </c>
      <c r="E7" s="12">
        <v>22</v>
      </c>
      <c r="F7" s="12">
        <v>0</v>
      </c>
      <c r="G7" s="12">
        <v>0</v>
      </c>
      <c r="H7" s="12">
        <v>0</v>
      </c>
    </row>
    <row r="8" spans="1:8">
      <c r="A8" t="s">
        <v>115</v>
      </c>
      <c r="C8" s="12">
        <v>22</v>
      </c>
      <c r="D8" s="12">
        <v>22</v>
      </c>
      <c r="E8" s="12">
        <v>22</v>
      </c>
      <c r="F8" s="12">
        <v>0</v>
      </c>
      <c r="G8" s="12">
        <v>0</v>
      </c>
      <c r="H8" s="12">
        <v>0</v>
      </c>
    </row>
    <row r="9" spans="1:8">
      <c r="A9" t="s">
        <v>41</v>
      </c>
      <c r="B9" t="s">
        <v>112</v>
      </c>
      <c r="C9" s="12">
        <v>85</v>
      </c>
      <c r="D9" s="12">
        <v>85</v>
      </c>
      <c r="E9" s="12">
        <v>85</v>
      </c>
      <c r="F9" s="12">
        <v>0</v>
      </c>
      <c r="G9" s="12">
        <v>0</v>
      </c>
      <c r="H9" s="12">
        <v>0</v>
      </c>
    </row>
    <row r="10" spans="1:8">
      <c r="A10" t="s">
        <v>116</v>
      </c>
      <c r="C10" s="12">
        <v>85</v>
      </c>
      <c r="D10" s="12">
        <v>85</v>
      </c>
      <c r="E10" s="12">
        <v>85</v>
      </c>
      <c r="F10" s="12">
        <v>0</v>
      </c>
      <c r="G10" s="12">
        <v>0</v>
      </c>
      <c r="H10" s="12">
        <v>0</v>
      </c>
    </row>
    <row r="11" spans="1:8">
      <c r="A11" t="s">
        <v>45</v>
      </c>
      <c r="B11" t="s">
        <v>112</v>
      </c>
      <c r="C11" s="12">
        <v>73</v>
      </c>
      <c r="D11" s="12">
        <v>73</v>
      </c>
      <c r="E11" s="12">
        <v>73</v>
      </c>
      <c r="F11" s="12">
        <v>0</v>
      </c>
      <c r="G11" s="12">
        <v>0</v>
      </c>
      <c r="H11" s="12">
        <v>0</v>
      </c>
    </row>
    <row r="12" spans="1:8">
      <c r="A12" t="s">
        <v>117</v>
      </c>
      <c r="C12" s="12">
        <v>73</v>
      </c>
      <c r="D12" s="12">
        <v>73</v>
      </c>
      <c r="E12" s="12">
        <v>73</v>
      </c>
      <c r="F12" s="12">
        <v>0</v>
      </c>
      <c r="G12" s="12">
        <v>0</v>
      </c>
      <c r="H12" s="12">
        <v>0</v>
      </c>
    </row>
    <row r="13" spans="1:8">
      <c r="A13" t="s">
        <v>80</v>
      </c>
      <c r="B13" t="s">
        <v>112</v>
      </c>
      <c r="C13" s="12">
        <v>39</v>
      </c>
      <c r="D13" s="12">
        <v>39</v>
      </c>
      <c r="E13" s="12">
        <v>39</v>
      </c>
      <c r="F13" s="12">
        <v>0</v>
      </c>
      <c r="G13" s="12">
        <v>0</v>
      </c>
      <c r="H13" s="12">
        <v>0</v>
      </c>
    </row>
    <row r="14" spans="1:8">
      <c r="A14" t="s">
        <v>118</v>
      </c>
      <c r="C14" s="12">
        <v>39</v>
      </c>
      <c r="D14" s="12">
        <v>39</v>
      </c>
      <c r="E14" s="12">
        <v>39</v>
      </c>
      <c r="F14" s="12">
        <v>0</v>
      </c>
      <c r="G14" s="12">
        <v>0</v>
      </c>
      <c r="H14" s="12">
        <v>0</v>
      </c>
    </row>
    <row r="15" spans="1:8">
      <c r="A15" t="s">
        <v>64</v>
      </c>
      <c r="B15" t="s">
        <v>112</v>
      </c>
      <c r="C15" s="12">
        <v>19</v>
      </c>
      <c r="D15" s="12">
        <v>19</v>
      </c>
      <c r="E15" s="12">
        <v>19</v>
      </c>
      <c r="F15" s="12">
        <v>0</v>
      </c>
      <c r="G15" s="12">
        <v>0</v>
      </c>
      <c r="H15" s="12">
        <v>0</v>
      </c>
    </row>
    <row r="16" spans="1:8">
      <c r="A16" t="s">
        <v>119</v>
      </c>
      <c r="C16" s="12">
        <v>19</v>
      </c>
      <c r="D16" s="12">
        <v>19</v>
      </c>
      <c r="E16" s="12">
        <v>19</v>
      </c>
      <c r="F16" s="12">
        <v>0</v>
      </c>
      <c r="G16" s="12">
        <v>0</v>
      </c>
      <c r="H16" s="12">
        <v>0</v>
      </c>
    </row>
    <row r="17" spans="1:8">
      <c r="A17" t="s">
        <v>49</v>
      </c>
      <c r="B17" t="s">
        <v>112</v>
      </c>
      <c r="C17" s="12">
        <v>74</v>
      </c>
      <c r="D17" s="12">
        <v>74</v>
      </c>
      <c r="E17" s="12">
        <v>74</v>
      </c>
      <c r="F17" s="12">
        <v>0</v>
      </c>
      <c r="G17" s="12">
        <v>0</v>
      </c>
      <c r="H17" s="12">
        <v>0</v>
      </c>
    </row>
    <row r="18" spans="1:8">
      <c r="B18" t="s">
        <v>113</v>
      </c>
      <c r="C18" s="12">
        <v>61</v>
      </c>
      <c r="D18" s="12">
        <v>57</v>
      </c>
      <c r="E18" s="12">
        <v>29</v>
      </c>
      <c r="F18" s="12">
        <v>4</v>
      </c>
      <c r="G18" s="12">
        <v>32</v>
      </c>
      <c r="H18" s="12">
        <v>28</v>
      </c>
    </row>
    <row r="19" spans="1:8">
      <c r="A19" t="s">
        <v>120</v>
      </c>
      <c r="C19" s="12">
        <v>135</v>
      </c>
      <c r="D19" s="12">
        <v>131</v>
      </c>
      <c r="E19" s="12">
        <v>103</v>
      </c>
      <c r="F19" s="12">
        <v>4</v>
      </c>
      <c r="G19" s="12">
        <v>32</v>
      </c>
      <c r="H19" s="12">
        <v>28</v>
      </c>
    </row>
    <row r="20" spans="1:8">
      <c r="A20" t="s">
        <v>70</v>
      </c>
      <c r="B20" t="s">
        <v>112</v>
      </c>
      <c r="C20" s="12">
        <v>10</v>
      </c>
      <c r="D20" s="12">
        <v>10</v>
      </c>
      <c r="E20" s="12">
        <v>10</v>
      </c>
      <c r="F20" s="12">
        <v>0</v>
      </c>
      <c r="G20" s="12">
        <v>0</v>
      </c>
      <c r="H20" s="12">
        <v>0</v>
      </c>
    </row>
    <row r="21" spans="1:8">
      <c r="A21" t="s">
        <v>121</v>
      </c>
      <c r="C21" s="12">
        <v>10</v>
      </c>
      <c r="D21" s="12">
        <v>10</v>
      </c>
      <c r="E21" s="12">
        <v>10</v>
      </c>
      <c r="F21" s="12">
        <v>0</v>
      </c>
      <c r="G21" s="12">
        <v>0</v>
      </c>
      <c r="H21" s="12">
        <v>0</v>
      </c>
    </row>
    <row r="22" spans="1:8">
      <c r="A22" t="s">
        <v>37</v>
      </c>
      <c r="B22" t="s">
        <v>112</v>
      </c>
      <c r="C22" s="12">
        <v>95</v>
      </c>
      <c r="D22" s="12">
        <v>95</v>
      </c>
      <c r="E22" s="12">
        <v>95</v>
      </c>
      <c r="F22" s="12">
        <v>0</v>
      </c>
      <c r="G22" s="12">
        <v>0</v>
      </c>
      <c r="H22" s="12">
        <v>0</v>
      </c>
    </row>
    <row r="23" spans="1:8">
      <c r="B23" t="s">
        <v>113</v>
      </c>
      <c r="C23" s="12">
        <v>17</v>
      </c>
      <c r="D23" s="12">
        <v>16</v>
      </c>
      <c r="E23" s="12">
        <v>17</v>
      </c>
      <c r="F23" s="12">
        <v>1</v>
      </c>
      <c r="G23" s="12">
        <v>0</v>
      </c>
      <c r="H23" s="12">
        <v>-1</v>
      </c>
    </row>
    <row r="24" spans="1:8">
      <c r="A24" t="s">
        <v>122</v>
      </c>
      <c r="C24" s="12">
        <v>112</v>
      </c>
      <c r="D24" s="12">
        <v>111</v>
      </c>
      <c r="E24" s="12">
        <v>112</v>
      </c>
      <c r="F24" s="12">
        <v>1</v>
      </c>
      <c r="G24" s="12">
        <v>0</v>
      </c>
      <c r="H24" s="12">
        <v>-1</v>
      </c>
    </row>
    <row r="25" spans="1:8">
      <c r="A25" t="s">
        <v>54</v>
      </c>
      <c r="B25" t="s">
        <v>112</v>
      </c>
      <c r="C25" s="12">
        <v>70</v>
      </c>
      <c r="D25" s="12">
        <v>70</v>
      </c>
      <c r="E25" s="12">
        <v>70</v>
      </c>
      <c r="F25" s="12">
        <v>0</v>
      </c>
      <c r="G25" s="12">
        <v>0</v>
      </c>
      <c r="H25" s="12">
        <v>0</v>
      </c>
    </row>
    <row r="26" spans="1:8">
      <c r="A26" t="s">
        <v>123</v>
      </c>
      <c r="C26" s="12">
        <v>70</v>
      </c>
      <c r="D26" s="12">
        <v>70</v>
      </c>
      <c r="E26" s="12">
        <v>70</v>
      </c>
      <c r="F26" s="12">
        <v>0</v>
      </c>
      <c r="G26" s="12">
        <v>0</v>
      </c>
      <c r="H26" s="12">
        <v>0</v>
      </c>
    </row>
    <row r="27" spans="1:8">
      <c r="A27" t="s">
        <v>83</v>
      </c>
      <c r="B27" t="s">
        <v>113</v>
      </c>
      <c r="C27" s="12">
        <v>10</v>
      </c>
      <c r="D27" s="12">
        <v>6</v>
      </c>
      <c r="E27" s="12">
        <v>10</v>
      </c>
      <c r="F27" s="12">
        <v>4</v>
      </c>
      <c r="G27" s="12">
        <v>0</v>
      </c>
      <c r="H27" s="12">
        <v>-4</v>
      </c>
    </row>
    <row r="28" spans="1:8">
      <c r="A28" t="s">
        <v>124</v>
      </c>
      <c r="C28" s="12">
        <v>10</v>
      </c>
      <c r="D28" s="12">
        <v>6</v>
      </c>
      <c r="E28" s="12">
        <v>10</v>
      </c>
      <c r="F28" s="12">
        <v>4</v>
      </c>
      <c r="G28" s="12">
        <v>0</v>
      </c>
      <c r="H28" s="12">
        <v>-4</v>
      </c>
    </row>
    <row r="29" spans="1:8">
      <c r="A29" t="s">
        <v>125</v>
      </c>
      <c r="C29" s="12">
        <v>627</v>
      </c>
      <c r="D29" s="12">
        <v>618</v>
      </c>
      <c r="E29" s="12">
        <v>593</v>
      </c>
      <c r="F29" s="12">
        <v>9</v>
      </c>
      <c r="G29" s="12">
        <v>34</v>
      </c>
      <c r="H29" s="12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B653-1A7F-4DC1-B147-5A309C846EDF}">
  <dimension ref="A3:C15"/>
  <sheetViews>
    <sheetView workbookViewId="0">
      <selection activeCell="D3" sqref="D3"/>
    </sheetView>
  </sheetViews>
  <sheetFormatPr defaultRowHeight="15"/>
  <cols>
    <col min="1" max="1" width="25.7109375" bestFit="1" customWidth="1"/>
    <col min="2" max="2" width="21.28515625" bestFit="1" customWidth="1"/>
    <col min="3" max="3" width="17.85546875" bestFit="1" customWidth="1"/>
  </cols>
  <sheetData>
    <row r="3" spans="1:3">
      <c r="A3" s="11" t="s">
        <v>14</v>
      </c>
      <c r="B3" t="s">
        <v>126</v>
      </c>
      <c r="C3" t="s">
        <v>127</v>
      </c>
    </row>
    <row r="4" spans="1:3">
      <c r="A4" t="s">
        <v>33</v>
      </c>
      <c r="B4" s="16">
        <v>2.6666666666666665</v>
      </c>
      <c r="C4" s="16">
        <v>4</v>
      </c>
    </row>
    <row r="5" spans="1:3">
      <c r="A5" t="s">
        <v>101</v>
      </c>
      <c r="B5" s="16">
        <v>2</v>
      </c>
      <c r="C5" s="16">
        <v>2</v>
      </c>
    </row>
    <row r="6" spans="1:3">
      <c r="A6" t="s">
        <v>41</v>
      </c>
      <c r="B6" s="16">
        <v>2.5</v>
      </c>
      <c r="C6" s="16">
        <v>4</v>
      </c>
    </row>
    <row r="7" spans="1:3">
      <c r="A7" t="s">
        <v>45</v>
      </c>
      <c r="B7" s="16">
        <v>2.25</v>
      </c>
      <c r="C7" s="16">
        <v>4</v>
      </c>
    </row>
    <row r="8" spans="1:3">
      <c r="A8" t="s">
        <v>80</v>
      </c>
      <c r="B8" s="16">
        <v>1.5</v>
      </c>
      <c r="C8" s="16">
        <v>2</v>
      </c>
    </row>
    <row r="9" spans="1:3">
      <c r="A9" t="s">
        <v>64</v>
      </c>
      <c r="B9" s="16">
        <v>3</v>
      </c>
      <c r="C9" s="16">
        <v>3</v>
      </c>
    </row>
    <row r="10" spans="1:3">
      <c r="A10" t="s">
        <v>49</v>
      </c>
      <c r="B10" s="16">
        <v>2.1666666666666665</v>
      </c>
      <c r="C10" s="16">
        <v>5</v>
      </c>
    </row>
    <row r="11" spans="1:3">
      <c r="A11" t="s">
        <v>70</v>
      </c>
      <c r="B11" s="16">
        <v>3</v>
      </c>
      <c r="C11" s="16">
        <v>3</v>
      </c>
    </row>
    <row r="12" spans="1:3">
      <c r="A12" t="s">
        <v>37</v>
      </c>
      <c r="B12" s="16">
        <v>3.4</v>
      </c>
      <c r="C12" s="16">
        <v>5</v>
      </c>
    </row>
    <row r="13" spans="1:3">
      <c r="A13" t="s">
        <v>54</v>
      </c>
      <c r="B13" s="16">
        <v>3</v>
      </c>
      <c r="C13" s="16">
        <v>4</v>
      </c>
    </row>
    <row r="14" spans="1:3">
      <c r="A14" t="s">
        <v>83</v>
      </c>
      <c r="B14" s="16">
        <v>2</v>
      </c>
      <c r="C14" s="16">
        <v>2</v>
      </c>
    </row>
    <row r="15" spans="1:3">
      <c r="A15" t="s">
        <v>125</v>
      </c>
      <c r="B15" s="16">
        <v>2.4864864864864864</v>
      </c>
      <c r="C15" s="1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FB09-9CF8-43CF-ACEB-06141B2D4136}">
  <dimension ref="A3:C15"/>
  <sheetViews>
    <sheetView workbookViewId="0">
      <selection activeCell="E8" sqref="E8"/>
    </sheetView>
  </sheetViews>
  <sheetFormatPr defaultRowHeight="15"/>
  <cols>
    <col min="1" max="1" width="25.7109375" bestFit="1" customWidth="1"/>
    <col min="2" max="2" width="17.28515625" customWidth="1"/>
    <col min="3" max="3" width="16.7109375" customWidth="1"/>
  </cols>
  <sheetData>
    <row r="3" spans="1:3" ht="29.25">
      <c r="A3" s="11" t="s">
        <v>14</v>
      </c>
      <c r="B3" s="10" t="s">
        <v>128</v>
      </c>
      <c r="C3" s="10" t="s">
        <v>129</v>
      </c>
    </row>
    <row r="4" spans="1:3">
      <c r="A4" t="s">
        <v>33</v>
      </c>
      <c r="B4" s="16">
        <v>3</v>
      </c>
      <c r="C4" s="16">
        <v>4</v>
      </c>
    </row>
    <row r="5" spans="1:3">
      <c r="A5" t="s">
        <v>101</v>
      </c>
      <c r="B5" s="16">
        <v>2</v>
      </c>
      <c r="C5" s="16">
        <v>2</v>
      </c>
    </row>
    <row r="6" spans="1:3">
      <c r="A6" t="s">
        <v>41</v>
      </c>
      <c r="B6" s="16">
        <v>2.25</v>
      </c>
      <c r="C6" s="16">
        <v>3</v>
      </c>
    </row>
    <row r="7" spans="1:3">
      <c r="A7" t="s">
        <v>45</v>
      </c>
      <c r="B7" s="16">
        <v>2.75</v>
      </c>
      <c r="C7" s="16">
        <v>3</v>
      </c>
    </row>
    <row r="8" spans="1:3">
      <c r="A8" t="s">
        <v>80</v>
      </c>
      <c r="B8" s="16">
        <v>3</v>
      </c>
      <c r="C8" s="16">
        <v>3</v>
      </c>
    </row>
    <row r="9" spans="1:3">
      <c r="A9" t="s">
        <v>64</v>
      </c>
      <c r="B9" s="16">
        <v>3</v>
      </c>
      <c r="C9" s="16">
        <v>3</v>
      </c>
    </row>
    <row r="10" spans="1:3">
      <c r="A10" t="s">
        <v>49</v>
      </c>
      <c r="B10" s="16">
        <v>2.9166666666666665</v>
      </c>
      <c r="C10" s="16">
        <v>4</v>
      </c>
    </row>
    <row r="11" spans="1:3">
      <c r="A11" t="s">
        <v>70</v>
      </c>
      <c r="B11" s="16">
        <v>3</v>
      </c>
      <c r="C11" s="16">
        <v>3</v>
      </c>
    </row>
    <row r="12" spans="1:3">
      <c r="A12" t="s">
        <v>37</v>
      </c>
      <c r="B12" s="16">
        <v>2.4</v>
      </c>
      <c r="C12" s="16">
        <v>3</v>
      </c>
    </row>
    <row r="13" spans="1:3">
      <c r="A13" t="s">
        <v>54</v>
      </c>
      <c r="B13" s="16">
        <v>3</v>
      </c>
      <c r="C13" s="16">
        <v>3</v>
      </c>
    </row>
    <row r="14" spans="1:3">
      <c r="A14" t="s">
        <v>83</v>
      </c>
      <c r="B14" s="16">
        <v>1</v>
      </c>
      <c r="C14" s="16">
        <v>1</v>
      </c>
    </row>
    <row r="15" spans="1:3">
      <c r="A15" t="s">
        <v>125</v>
      </c>
      <c r="B15" s="16">
        <v>2.7027027027027026</v>
      </c>
      <c r="C15" s="1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496E-73BC-4E50-B2B8-303D73197A8E}">
  <dimension ref="A3:B15"/>
  <sheetViews>
    <sheetView workbookViewId="0">
      <selection activeCell="E5" sqref="E5"/>
    </sheetView>
  </sheetViews>
  <sheetFormatPr defaultRowHeight="15"/>
  <cols>
    <col min="1" max="1" width="25.7109375" bestFit="1" customWidth="1"/>
    <col min="2" max="2" width="21.42578125" customWidth="1"/>
  </cols>
  <sheetData>
    <row r="3" spans="1:2" ht="29.25">
      <c r="A3" s="11" t="s">
        <v>14</v>
      </c>
      <c r="B3" s="10" t="s">
        <v>130</v>
      </c>
    </row>
    <row r="4" spans="1:2">
      <c r="A4" t="s">
        <v>33</v>
      </c>
      <c r="B4" s="16">
        <v>2.3333333333333335</v>
      </c>
    </row>
    <row r="5" spans="1:2">
      <c r="A5" t="s">
        <v>101</v>
      </c>
      <c r="B5" s="16" t="s">
        <v>131</v>
      </c>
    </row>
    <row r="6" spans="1:2">
      <c r="A6" t="s">
        <v>41</v>
      </c>
      <c r="B6" s="16">
        <v>7.25</v>
      </c>
    </row>
    <row r="7" spans="1:2">
      <c r="A7" t="s">
        <v>45</v>
      </c>
      <c r="B7" s="16">
        <v>3.25</v>
      </c>
    </row>
    <row r="8" spans="1:2">
      <c r="A8" t="s">
        <v>80</v>
      </c>
      <c r="B8" s="16">
        <v>5.5</v>
      </c>
    </row>
    <row r="9" spans="1:2">
      <c r="A9" t="s">
        <v>64</v>
      </c>
      <c r="B9" s="16">
        <v>3</v>
      </c>
    </row>
    <row r="10" spans="1:2">
      <c r="A10" t="s">
        <v>49</v>
      </c>
      <c r="B10" s="16">
        <v>3.6363636363636362</v>
      </c>
    </row>
    <row r="11" spans="1:2">
      <c r="A11" t="s">
        <v>70</v>
      </c>
      <c r="B11" s="16">
        <v>6</v>
      </c>
    </row>
    <row r="12" spans="1:2">
      <c r="A12" t="s">
        <v>37</v>
      </c>
      <c r="B12" s="16">
        <v>2.5</v>
      </c>
    </row>
    <row r="13" spans="1:2">
      <c r="A13" t="s">
        <v>54</v>
      </c>
      <c r="B13" s="16">
        <v>2.6666666666666665</v>
      </c>
    </row>
    <row r="14" spans="1:2">
      <c r="A14" t="s">
        <v>83</v>
      </c>
      <c r="B14" s="16">
        <v>2</v>
      </c>
    </row>
    <row r="15" spans="1:2">
      <c r="A15" t="s">
        <v>125</v>
      </c>
      <c r="B15" s="16">
        <v>3.7941176470588234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Caleb Hartman</dc:creator>
  <cp:keywords/>
  <dc:description/>
  <cp:lastModifiedBy/>
  <cp:revision/>
  <dcterms:created xsi:type="dcterms:W3CDTF">2026-02-16T21:59:37Z</dcterms:created>
  <dcterms:modified xsi:type="dcterms:W3CDTF">2026-04-12T19:52:42Z</dcterms:modified>
  <cp:category/>
  <cp:contentStatus/>
</cp:coreProperties>
</file>